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ahb\Downloads\"/>
    </mc:Choice>
  </mc:AlternateContent>
  <xr:revisionPtr revIDLastSave="0" documentId="13_ncr:1_{0A3F6BBE-2DF3-4F81-B45C-7B02668106DF}" xr6:coauthVersionLast="47" xr6:coauthVersionMax="47" xr10:uidLastSave="{00000000-0000-0000-0000-000000000000}"/>
  <bookViews>
    <workbookView xWindow="-108" yWindow="-108" windowWidth="23256" windowHeight="12456" xr2:uid="{8DE46037-916C-5349-B5CD-1366CE6789D5}"/>
  </bookViews>
  <sheets>
    <sheet name="1. BvA Variance" sheetId="1" r:id="rId1"/>
    <sheet name="2. Headcount Planning" sheetId="2" r:id="rId2"/>
    <sheet name="3. Revenue Forecast" sheetId="3" r:id="rId3"/>
    <sheet name="4. Rolling Forecast" sheetId="4" r:id="rId4"/>
    <sheet name="5. KPI Dashboard" sheetId="5" r:id="rId5"/>
    <sheet name="6. 13-Week Cash Flow" sheetId="6" r:id="rId6"/>
    <sheet name="7. Scenario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4" i="1"/>
  <c r="B38" i="1"/>
  <c r="G6" i="1"/>
  <c r="D9" i="1"/>
  <c r="E9" i="1" s="1"/>
  <c r="F9" i="1" s="1"/>
  <c r="G9" i="1" s="1"/>
  <c r="H9" i="1" s="1"/>
  <c r="I9" i="1" s="1"/>
  <c r="J9" i="1" s="1"/>
  <c r="K9" i="1" s="1"/>
  <c r="L9" i="1" s="1"/>
  <c r="M9" i="1" s="1"/>
  <c r="C9" i="1"/>
  <c r="B9" i="1"/>
  <c r="K7" i="1"/>
  <c r="J7" i="1"/>
  <c r="I7" i="1"/>
  <c r="H7" i="1"/>
  <c r="G7" i="1"/>
  <c r="F7" i="1"/>
  <c r="E7" i="1"/>
  <c r="D7" i="1"/>
  <c r="C7" i="1"/>
  <c r="B7" i="1"/>
  <c r="D6" i="1"/>
  <c r="E6" i="1" s="1"/>
  <c r="F6" i="1" s="1"/>
  <c r="H6" i="1" s="1"/>
  <c r="I6" i="1" s="1"/>
  <c r="C6" i="1"/>
  <c r="B5" i="7"/>
  <c r="H6" i="7"/>
  <c r="H8" i="7"/>
  <c r="B16" i="3"/>
  <c r="B15" i="2"/>
  <c r="B14" i="2"/>
  <c r="B24" i="1"/>
  <c r="K8" i="7"/>
  <c r="I8" i="7"/>
  <c r="K6" i="7"/>
  <c r="K7" i="7" s="1"/>
  <c r="K9" i="7" s="1"/>
  <c r="I6" i="7"/>
  <c r="I7" i="7" s="1"/>
  <c r="I9" i="7" s="1"/>
  <c r="E36" i="7"/>
  <c r="D36" i="7"/>
  <c r="B33" i="7"/>
  <c r="B31" i="7"/>
  <c r="J8" i="7" s="1"/>
  <c r="B24" i="7"/>
  <c r="B23" i="7"/>
  <c r="B20" i="7"/>
  <c r="J6" i="7" s="1"/>
  <c r="J7" i="7" s="1"/>
  <c r="O18" i="6"/>
  <c r="P18" i="6" s="1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O17" i="6"/>
  <c r="P17" i="6" s="1"/>
  <c r="P16" i="6"/>
  <c r="O16" i="6"/>
  <c r="O15" i="6"/>
  <c r="P15" i="6" s="1"/>
  <c r="O14" i="6"/>
  <c r="P14" i="6" s="1"/>
  <c r="O13" i="6"/>
  <c r="P13" i="6" s="1"/>
  <c r="N10" i="6"/>
  <c r="N19" i="6" s="1"/>
  <c r="M10" i="6"/>
  <c r="M19" i="6" s="1"/>
  <c r="L10" i="6"/>
  <c r="L19" i="6" s="1"/>
  <c r="K10" i="6"/>
  <c r="K19" i="6" s="1"/>
  <c r="J10" i="6"/>
  <c r="J19" i="6" s="1"/>
  <c r="I10" i="6"/>
  <c r="I19" i="6" s="1"/>
  <c r="H10" i="6"/>
  <c r="H19" i="6" s="1"/>
  <c r="G10" i="6"/>
  <c r="G19" i="6" s="1"/>
  <c r="F10" i="6"/>
  <c r="F19" i="6" s="1"/>
  <c r="E10" i="6"/>
  <c r="E19" i="6" s="1"/>
  <c r="D10" i="6"/>
  <c r="D19" i="6" s="1"/>
  <c r="C10" i="6"/>
  <c r="C19" i="6" s="1"/>
  <c r="B10" i="6"/>
  <c r="B19" i="6" s="1"/>
  <c r="B20" i="6" s="1"/>
  <c r="O9" i="6"/>
  <c r="P9" i="6" s="1"/>
  <c r="O8" i="6"/>
  <c r="O10" i="6" s="1"/>
  <c r="J6" i="1" l="1"/>
  <c r="K6" i="1" s="1"/>
  <c r="I8" i="1"/>
  <c r="C30" i="7"/>
  <c r="D30" i="7" s="1"/>
  <c r="E30" i="7" s="1"/>
  <c r="C29" i="7"/>
  <c r="D29" i="7" s="1"/>
  <c r="E29" i="7" s="1"/>
  <c r="C28" i="7"/>
  <c r="D28" i="7" s="1"/>
  <c r="E28" i="7" s="1"/>
  <c r="C27" i="7"/>
  <c r="C22" i="7"/>
  <c r="D22" i="7" s="1"/>
  <c r="E22" i="7" s="1"/>
  <c r="C19" i="7"/>
  <c r="D19" i="7" s="1"/>
  <c r="E19" i="7" s="1"/>
  <c r="C18" i="7"/>
  <c r="D18" i="7" s="1"/>
  <c r="E18" i="7" s="1"/>
  <c r="C17" i="7"/>
  <c r="J9" i="7"/>
  <c r="P10" i="6"/>
  <c r="O19" i="6"/>
  <c r="P19" i="6" s="1"/>
  <c r="C5" i="6"/>
  <c r="C20" i="6" s="1"/>
  <c r="B21" i="6"/>
  <c r="I11" i="7"/>
  <c r="I10" i="7"/>
  <c r="K11" i="7"/>
  <c r="K10" i="7"/>
  <c r="P8" i="6"/>
  <c r="B34" i="7"/>
  <c r="H7" i="7"/>
  <c r="H9" i="7" s="1"/>
  <c r="B37" i="7"/>
  <c r="D27" i="7" l="1"/>
  <c r="E27" i="7" s="1"/>
  <c r="C31" i="7"/>
  <c r="D31" i="7" s="1"/>
  <c r="E31" i="7" s="1"/>
  <c r="C20" i="7"/>
  <c r="D17" i="7"/>
  <c r="E17" i="7" s="1"/>
  <c r="K13" i="7"/>
  <c r="K12" i="7"/>
  <c r="H11" i="7"/>
  <c r="H10" i="7"/>
  <c r="I13" i="7"/>
  <c r="I12" i="7"/>
  <c r="C21" i="6"/>
  <c r="D5" i="6"/>
  <c r="D20" i="6" s="1"/>
  <c r="J10" i="7"/>
  <c r="J11" i="7"/>
  <c r="C23" i="5"/>
  <c r="B23" i="5"/>
  <c r="D17" i="5"/>
  <c r="D16" i="5"/>
  <c r="B16" i="5"/>
  <c r="D15" i="5"/>
  <c r="D14" i="5"/>
  <c r="D13" i="5"/>
  <c r="D12" i="5"/>
  <c r="D10" i="5"/>
  <c r="B10" i="5"/>
  <c r="D9" i="5"/>
  <c r="D8" i="5"/>
  <c r="O17" i="4"/>
  <c r="M17" i="4"/>
  <c r="L17" i="4"/>
  <c r="K17" i="4"/>
  <c r="J17" i="4"/>
  <c r="I17" i="4"/>
  <c r="H17" i="4"/>
  <c r="G17" i="4"/>
  <c r="F17" i="4"/>
  <c r="E17" i="4"/>
  <c r="D17" i="4"/>
  <c r="C17" i="4"/>
  <c r="B17" i="4"/>
  <c r="P16" i="4"/>
  <c r="N16" i="4"/>
  <c r="P15" i="4"/>
  <c r="N15" i="4"/>
  <c r="N14" i="4"/>
  <c r="P14" i="4" s="1"/>
  <c r="N13" i="4"/>
  <c r="P13" i="4" s="1"/>
  <c r="P12" i="4"/>
  <c r="N12" i="4"/>
  <c r="O9" i="4"/>
  <c r="O20" i="4" s="1"/>
  <c r="O21" i="4" s="1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N7" i="4" s="1"/>
  <c r="P7" i="4" s="1"/>
  <c r="E7" i="4"/>
  <c r="D7" i="4"/>
  <c r="C7" i="4"/>
  <c r="B7" i="4"/>
  <c r="N25" i="3"/>
  <c r="N24" i="3"/>
  <c r="N14" i="3"/>
  <c r="B13" i="3"/>
  <c r="E15" i="2"/>
  <c r="D15" i="2"/>
  <c r="C15" i="2"/>
  <c r="O10" i="2"/>
  <c r="M10" i="2"/>
  <c r="E16" i="2" s="1"/>
  <c r="L10" i="2"/>
  <c r="J10" i="2"/>
  <c r="D16" i="2" s="1"/>
  <c r="I10" i="2"/>
  <c r="G10" i="2"/>
  <c r="C16" i="2" s="1"/>
  <c r="F10" i="2"/>
  <c r="D10" i="2"/>
  <c r="B16" i="2" s="1"/>
  <c r="F16" i="2" s="1"/>
  <c r="C10" i="2"/>
  <c r="F15" i="2" s="1"/>
  <c r="B10" i="2"/>
  <c r="F14" i="2" s="1"/>
  <c r="Q9" i="2"/>
  <c r="P9" i="2"/>
  <c r="E9" i="2"/>
  <c r="Q8" i="2"/>
  <c r="D25" i="2" s="1"/>
  <c r="P8" i="2"/>
  <c r="E8" i="2"/>
  <c r="H8" i="2" s="1"/>
  <c r="K8" i="2" s="1"/>
  <c r="N8" i="2" s="1"/>
  <c r="Q7" i="2"/>
  <c r="P7" i="2"/>
  <c r="E7" i="2"/>
  <c r="Q6" i="2"/>
  <c r="B23" i="2" s="1"/>
  <c r="P6" i="2"/>
  <c r="E6" i="2"/>
  <c r="H6" i="2" s="1"/>
  <c r="K6" i="2" s="1"/>
  <c r="N6" i="2" s="1"/>
  <c r="P5" i="2"/>
  <c r="N5" i="2"/>
  <c r="K5" i="2"/>
  <c r="H5" i="2"/>
  <c r="E5" i="2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M33" i="1"/>
  <c r="L33" i="1"/>
  <c r="K33" i="1"/>
  <c r="J33" i="1"/>
  <c r="I33" i="1"/>
  <c r="H33" i="1"/>
  <c r="G33" i="1"/>
  <c r="F33" i="1"/>
  <c r="E33" i="1"/>
  <c r="D33" i="1"/>
  <c r="C33" i="1"/>
  <c r="B33" i="1"/>
  <c r="O31" i="1"/>
  <c r="N31" i="1"/>
  <c r="M30" i="1"/>
  <c r="L30" i="1"/>
  <c r="K30" i="1"/>
  <c r="J30" i="1"/>
  <c r="I30" i="1"/>
  <c r="H30" i="1"/>
  <c r="G30" i="1"/>
  <c r="F30" i="1"/>
  <c r="E30" i="1"/>
  <c r="D30" i="1"/>
  <c r="C30" i="1"/>
  <c r="B30" i="1"/>
  <c r="O28" i="1"/>
  <c r="N28" i="1"/>
  <c r="M27" i="1"/>
  <c r="L27" i="1"/>
  <c r="K27" i="1"/>
  <c r="J27" i="1"/>
  <c r="I27" i="1"/>
  <c r="H27" i="1"/>
  <c r="G27" i="1"/>
  <c r="F27" i="1"/>
  <c r="E27" i="1"/>
  <c r="D27" i="1"/>
  <c r="C27" i="1"/>
  <c r="B27" i="1"/>
  <c r="O25" i="1"/>
  <c r="N25" i="1"/>
  <c r="M24" i="1"/>
  <c r="L24" i="1"/>
  <c r="K24" i="1"/>
  <c r="J24" i="1"/>
  <c r="I24" i="1"/>
  <c r="H24" i="1"/>
  <c r="G24" i="1"/>
  <c r="F24" i="1"/>
  <c r="E24" i="1"/>
  <c r="D24" i="1"/>
  <c r="C24" i="1"/>
  <c r="O22" i="1"/>
  <c r="P22" i="1" s="1"/>
  <c r="Q22" i="1" s="1"/>
  <c r="R22" i="1" s="1"/>
  <c r="N22" i="1"/>
  <c r="M21" i="1"/>
  <c r="L21" i="1"/>
  <c r="K21" i="1"/>
  <c r="J21" i="1"/>
  <c r="I21" i="1"/>
  <c r="H21" i="1"/>
  <c r="G21" i="1"/>
  <c r="F21" i="1"/>
  <c r="E21" i="1"/>
  <c r="D21" i="1"/>
  <c r="C21" i="1"/>
  <c r="B21" i="1"/>
  <c r="O19" i="1"/>
  <c r="N19" i="1"/>
  <c r="N34" i="1" s="1"/>
  <c r="M16" i="1"/>
  <c r="L16" i="1"/>
  <c r="L39" i="1" s="1"/>
  <c r="K16" i="1"/>
  <c r="K39" i="1" s="1"/>
  <c r="J16" i="1"/>
  <c r="J39" i="1" s="1"/>
  <c r="I16" i="1"/>
  <c r="I39" i="1" s="1"/>
  <c r="H16" i="1"/>
  <c r="H39" i="1" s="1"/>
  <c r="G16" i="1"/>
  <c r="G39" i="1" s="1"/>
  <c r="F16" i="1"/>
  <c r="F39" i="1" s="1"/>
  <c r="E16" i="1"/>
  <c r="D16" i="1"/>
  <c r="D39" i="1" s="1"/>
  <c r="C16" i="1"/>
  <c r="B16" i="1"/>
  <c r="B39" i="1" s="1"/>
  <c r="M15" i="1"/>
  <c r="M38" i="1" s="1"/>
  <c r="L15" i="1"/>
  <c r="K15" i="1"/>
  <c r="K38" i="1" s="1"/>
  <c r="J15" i="1"/>
  <c r="J38" i="1" s="1"/>
  <c r="I15" i="1"/>
  <c r="I38" i="1" s="1"/>
  <c r="H15" i="1"/>
  <c r="H38" i="1" s="1"/>
  <c r="G15" i="1"/>
  <c r="G38" i="1" s="1"/>
  <c r="F15" i="1"/>
  <c r="F38" i="1" s="1"/>
  <c r="E15" i="1"/>
  <c r="E38" i="1" s="1"/>
  <c r="D15" i="1"/>
  <c r="C15" i="1"/>
  <c r="C38" i="1" s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O12" i="1"/>
  <c r="P12" i="1" s="1"/>
  <c r="Q12" i="1" s="1"/>
  <c r="R12" i="1" s="1"/>
  <c r="N12" i="1"/>
  <c r="M11" i="1"/>
  <c r="L11" i="1"/>
  <c r="K11" i="1"/>
  <c r="J11" i="1"/>
  <c r="I11" i="1"/>
  <c r="H11" i="1"/>
  <c r="G11" i="1"/>
  <c r="F11" i="1"/>
  <c r="E11" i="1"/>
  <c r="D11" i="1"/>
  <c r="C11" i="1"/>
  <c r="B11" i="1"/>
  <c r="O9" i="1"/>
  <c r="N9" i="1"/>
  <c r="M8" i="1"/>
  <c r="L8" i="1"/>
  <c r="K8" i="1"/>
  <c r="J8" i="1"/>
  <c r="H8" i="1"/>
  <c r="G8" i="1"/>
  <c r="F8" i="1"/>
  <c r="E8" i="1"/>
  <c r="D8" i="1"/>
  <c r="C8" i="1"/>
  <c r="B8" i="1"/>
  <c r="O6" i="1"/>
  <c r="O15" i="1" s="1"/>
  <c r="N6" i="1"/>
  <c r="P9" i="1" l="1"/>
  <c r="Q9" i="1" s="1"/>
  <c r="R9" i="1" s="1"/>
  <c r="N15" i="1"/>
  <c r="P15" i="1" s="1"/>
  <c r="Q15" i="1" s="1"/>
  <c r="R15" i="1" s="1"/>
  <c r="C39" i="1"/>
  <c r="P6" i="1"/>
  <c r="Q6" i="1" s="1"/>
  <c r="R6" i="1" s="1"/>
  <c r="D20" i="7"/>
  <c r="E20" i="7" s="1"/>
  <c r="C23" i="7"/>
  <c r="Q34" i="1"/>
  <c r="R34" i="1" s="1"/>
  <c r="E23" i="2"/>
  <c r="C23" i="2"/>
  <c r="F23" i="2" s="1"/>
  <c r="B15" i="3"/>
  <c r="B17" i="3" s="1"/>
  <c r="B18" i="3" s="1"/>
  <c r="D38" i="1"/>
  <c r="N38" i="1" s="1"/>
  <c r="L38" i="1"/>
  <c r="E39" i="1"/>
  <c r="M39" i="1"/>
  <c r="D23" i="2"/>
  <c r="P19" i="1"/>
  <c r="Q19" i="1" s="1"/>
  <c r="R19" i="1" s="1"/>
  <c r="O34" i="1"/>
  <c r="P34" i="1" s="1"/>
  <c r="P31" i="1"/>
  <c r="Q31" i="1" s="1"/>
  <c r="R31" i="1" s="1"/>
  <c r="R6" i="2"/>
  <c r="B25" i="2"/>
  <c r="F25" i="2" s="1"/>
  <c r="H9" i="2"/>
  <c r="C25" i="2"/>
  <c r="R8" i="2"/>
  <c r="J13" i="7"/>
  <c r="J12" i="7"/>
  <c r="E10" i="2"/>
  <c r="P10" i="2"/>
  <c r="B24" i="2"/>
  <c r="E24" i="2"/>
  <c r="D24" i="2"/>
  <c r="N8" i="4"/>
  <c r="P8" i="4" s="1"/>
  <c r="Q5" i="2"/>
  <c r="B26" i="2"/>
  <c r="N17" i="4"/>
  <c r="P17" i="4" s="1"/>
  <c r="D21" i="6"/>
  <c r="E5" i="6"/>
  <c r="E20" i="6" s="1"/>
  <c r="H13" i="7"/>
  <c r="H12" i="7"/>
  <c r="H7" i="2"/>
  <c r="K7" i="2" s="1"/>
  <c r="N7" i="2" s="1"/>
  <c r="E25" i="2"/>
  <c r="P28" i="1"/>
  <c r="Q28" i="1" s="1"/>
  <c r="R28" i="1" s="1"/>
  <c r="P25" i="1"/>
  <c r="Q25" i="1" s="1"/>
  <c r="R25" i="1" s="1"/>
  <c r="O38" i="1" l="1"/>
  <c r="P38" i="1" s="1"/>
  <c r="Q38" i="1" s="1"/>
  <c r="R38" i="1" s="1"/>
  <c r="D23" i="7"/>
  <c r="E23" i="7" s="1"/>
  <c r="C24" i="7"/>
  <c r="C33" i="7"/>
  <c r="H6" i="5"/>
  <c r="B23" i="3"/>
  <c r="C13" i="3"/>
  <c r="E22" i="2"/>
  <c r="C22" i="2"/>
  <c r="D22" i="2"/>
  <c r="D27" i="2" s="1"/>
  <c r="R5" i="2"/>
  <c r="Q10" i="2"/>
  <c r="B22" i="2"/>
  <c r="K9" i="2"/>
  <c r="D26" i="2"/>
  <c r="C14" i="2"/>
  <c r="B17" i="2"/>
  <c r="B18" i="2" s="1"/>
  <c r="C26" i="2"/>
  <c r="E21" i="6"/>
  <c r="F5" i="6"/>
  <c r="F20" i="6" s="1"/>
  <c r="H10" i="2"/>
  <c r="C24" i="2"/>
  <c r="F24" i="2" s="1"/>
  <c r="R7" i="2"/>
  <c r="D33" i="7" l="1"/>
  <c r="E33" i="7" s="1"/>
  <c r="C34" i="7"/>
  <c r="C37" i="7"/>
  <c r="D37" i="7" s="1"/>
  <c r="E37" i="7" s="1"/>
  <c r="D14" i="2"/>
  <c r="C17" i="2"/>
  <c r="C18" i="2"/>
  <c r="C27" i="2"/>
  <c r="C16" i="3"/>
  <c r="C15" i="3"/>
  <c r="N9" i="2"/>
  <c r="E26" i="2"/>
  <c r="F26" i="2" s="1"/>
  <c r="K10" i="2"/>
  <c r="B26" i="3"/>
  <c r="I6" i="5" s="1"/>
  <c r="F21" i="6"/>
  <c r="G5" i="6"/>
  <c r="G20" i="6" s="1"/>
  <c r="B27" i="2"/>
  <c r="F22" i="2"/>
  <c r="E14" i="2" l="1"/>
  <c r="D17" i="2"/>
  <c r="F27" i="2"/>
  <c r="N10" i="2"/>
  <c r="R9" i="2"/>
  <c r="R10" i="2" s="1"/>
  <c r="D18" i="2"/>
  <c r="C17" i="3"/>
  <c r="C18" i="3" s="1"/>
  <c r="G21" i="6"/>
  <c r="H5" i="6"/>
  <c r="H20" i="6" s="1"/>
  <c r="E27" i="2"/>
  <c r="C23" i="3" l="1"/>
  <c r="D13" i="3"/>
  <c r="C19" i="3"/>
  <c r="H7" i="5"/>
  <c r="F17" i="2"/>
  <c r="E17" i="2"/>
  <c r="E18" i="2" s="1"/>
  <c r="F18" i="2" s="1"/>
  <c r="H21" i="6"/>
  <c r="I5" i="6"/>
  <c r="I20" i="6" s="1"/>
  <c r="D15" i="3" l="1"/>
  <c r="D16" i="3"/>
  <c r="I21" i="6"/>
  <c r="J5" i="6"/>
  <c r="J20" i="6" s="1"/>
  <c r="C26" i="3"/>
  <c r="B6" i="4"/>
  <c r="B9" i="4" l="1"/>
  <c r="I7" i="5"/>
  <c r="J7" i="5" s="1"/>
  <c r="C27" i="3"/>
  <c r="J21" i="6"/>
  <c r="K5" i="6"/>
  <c r="K20" i="6" s="1"/>
  <c r="D17" i="3"/>
  <c r="K21" i="6" l="1"/>
  <c r="L5" i="6"/>
  <c r="L20" i="6" s="1"/>
  <c r="D18" i="3"/>
  <c r="B23" i="4"/>
  <c r="B20" i="4"/>
  <c r="L21" i="6" l="1"/>
  <c r="M5" i="6"/>
  <c r="M20" i="6" s="1"/>
  <c r="B22" i="4"/>
  <c r="B21" i="4"/>
  <c r="H8" i="5"/>
  <c r="D23" i="3"/>
  <c r="E13" i="3"/>
  <c r="D19" i="3"/>
  <c r="E16" i="3" l="1"/>
  <c r="E15" i="3"/>
  <c r="C6" i="4"/>
  <c r="D26" i="3"/>
  <c r="N5" i="6"/>
  <c r="N20" i="6" s="1"/>
  <c r="M21" i="6"/>
  <c r="N21" i="6" l="1"/>
  <c r="O21" i="6" s="1"/>
  <c r="O20" i="6"/>
  <c r="I8" i="5"/>
  <c r="J8" i="5" s="1"/>
  <c r="D27" i="3"/>
  <c r="C9" i="4"/>
  <c r="E17" i="3"/>
  <c r="E18" i="3" l="1"/>
  <c r="C23" i="4"/>
  <c r="C20" i="4"/>
  <c r="C22" i="4" l="1"/>
  <c r="C21" i="4"/>
  <c r="E23" i="3"/>
  <c r="F13" i="3"/>
  <c r="H9" i="5"/>
  <c r="E19" i="3"/>
  <c r="F16" i="3" l="1"/>
  <c r="F15" i="3"/>
  <c r="F17" i="3" s="1"/>
  <c r="E26" i="3"/>
  <c r="D6" i="4"/>
  <c r="D9" i="4" l="1"/>
  <c r="E27" i="3"/>
  <c r="I9" i="5"/>
  <c r="J9" i="5" s="1"/>
  <c r="F18" i="3"/>
  <c r="G13" i="3" l="1"/>
  <c r="H10" i="5"/>
  <c r="F23" i="3"/>
  <c r="F19" i="3"/>
  <c r="D23" i="4"/>
  <c r="D20" i="4"/>
  <c r="F26" i="3" l="1"/>
  <c r="E6" i="4"/>
  <c r="D22" i="4"/>
  <c r="D21" i="4"/>
  <c r="G15" i="3"/>
  <c r="G16" i="3"/>
  <c r="G17" i="3" l="1"/>
  <c r="E9" i="4"/>
  <c r="F27" i="3"/>
  <c r="I10" i="5"/>
  <c r="J10" i="5" s="1"/>
  <c r="E23" i="4" l="1"/>
  <c r="E20" i="4"/>
  <c r="G18" i="3"/>
  <c r="H11" i="5" l="1"/>
  <c r="G19" i="3"/>
  <c r="G23" i="3"/>
  <c r="H13" i="3"/>
  <c r="E21" i="4"/>
  <c r="E22" i="4"/>
  <c r="H15" i="3" l="1"/>
  <c r="H16" i="3"/>
  <c r="F6" i="4"/>
  <c r="G26" i="3"/>
  <c r="F9" i="4" l="1"/>
  <c r="I11" i="5"/>
  <c r="J11" i="5" s="1"/>
  <c r="G27" i="3"/>
  <c r="H17" i="3"/>
  <c r="H18" i="3" l="1"/>
  <c r="F20" i="4"/>
  <c r="F23" i="4"/>
  <c r="F21" i="4" l="1"/>
  <c r="F22" i="4"/>
  <c r="H19" i="3"/>
  <c r="I13" i="3"/>
  <c r="H12" i="5"/>
  <c r="H23" i="3"/>
  <c r="G6" i="4" l="1"/>
  <c r="G9" i="4" s="1"/>
  <c r="H26" i="3"/>
  <c r="I16" i="3"/>
  <c r="I15" i="3"/>
  <c r="I17" i="3" s="1"/>
  <c r="I18" i="3"/>
  <c r="I19" i="3" l="1"/>
  <c r="H13" i="5"/>
  <c r="I23" i="3"/>
  <c r="J13" i="3"/>
  <c r="H27" i="3"/>
  <c r="I12" i="5"/>
  <c r="J12" i="5" s="1"/>
  <c r="G20" i="4"/>
  <c r="G23" i="4"/>
  <c r="G21" i="4" l="1"/>
  <c r="G22" i="4"/>
  <c r="J16" i="3"/>
  <c r="J15" i="3"/>
  <c r="J17" i="3" s="1"/>
  <c r="J18" i="3" s="1"/>
  <c r="H6" i="4"/>
  <c r="H9" i="4" s="1"/>
  <c r="I26" i="3"/>
  <c r="J19" i="3" l="1"/>
  <c r="J23" i="3"/>
  <c r="H14" i="5"/>
  <c r="K13" i="3"/>
  <c r="H20" i="4"/>
  <c r="H23" i="4"/>
  <c r="I13" i="5"/>
  <c r="J13" i="5" s="1"/>
  <c r="I27" i="3"/>
  <c r="H21" i="4" l="1"/>
  <c r="H22" i="4"/>
  <c r="K16" i="3"/>
  <c r="K15" i="3"/>
  <c r="K17" i="3" s="1"/>
  <c r="K18" i="3" s="1"/>
  <c r="I6" i="4"/>
  <c r="I9" i="4" s="1"/>
  <c r="J26" i="3"/>
  <c r="K23" i="3" l="1"/>
  <c r="L13" i="3"/>
  <c r="K19" i="3"/>
  <c r="H15" i="5"/>
  <c r="I14" i="5"/>
  <c r="J14" i="5" s="1"/>
  <c r="J27" i="3"/>
  <c r="I20" i="4"/>
  <c r="I23" i="4"/>
  <c r="I22" i="4" l="1"/>
  <c r="I21" i="4"/>
  <c r="L16" i="3"/>
  <c r="L15" i="3"/>
  <c r="L17" i="3" s="1"/>
  <c r="L18" i="3" s="1"/>
  <c r="K26" i="3"/>
  <c r="J6" i="4"/>
  <c r="J9" i="4" s="1"/>
  <c r="M13" i="3" l="1"/>
  <c r="H16" i="5"/>
  <c r="L23" i="3"/>
  <c r="L19" i="3"/>
  <c r="I15" i="5"/>
  <c r="J15" i="5" s="1"/>
  <c r="K27" i="3"/>
  <c r="J23" i="4"/>
  <c r="J20" i="4"/>
  <c r="J22" i="4" l="1"/>
  <c r="J21" i="4"/>
  <c r="K6" i="4"/>
  <c r="K9" i="4" s="1"/>
  <c r="L26" i="3"/>
  <c r="M16" i="3"/>
  <c r="N16" i="3" s="1"/>
  <c r="M15" i="3"/>
  <c r="M17" i="3" l="1"/>
  <c r="N15" i="3"/>
  <c r="I16" i="5"/>
  <c r="J16" i="5" s="1"/>
  <c r="L27" i="3"/>
  <c r="K23" i="4"/>
  <c r="K20" i="4"/>
  <c r="K22" i="4" l="1"/>
  <c r="K21" i="4"/>
  <c r="N17" i="3"/>
  <c r="M18" i="3"/>
  <c r="M23" i="3" l="1"/>
  <c r="O18" i="3"/>
  <c r="N18" i="3"/>
  <c r="H17" i="5"/>
  <c r="B6" i="5"/>
  <c r="M19" i="3"/>
  <c r="N19" i="3"/>
  <c r="D6" i="5" l="1"/>
  <c r="B11" i="5"/>
  <c r="D11" i="5" s="1"/>
  <c r="B7" i="5"/>
  <c r="M26" i="3"/>
  <c r="L6" i="4"/>
  <c r="N23" i="3"/>
  <c r="N26" i="3" l="1"/>
  <c r="L9" i="4"/>
  <c r="M6" i="4"/>
  <c r="N27" i="3"/>
  <c r="M27" i="3"/>
  <c r="I17" i="5"/>
  <c r="J17" i="5" s="1"/>
  <c r="D22" i="5"/>
  <c r="B22" i="5"/>
  <c r="D7" i="5"/>
  <c r="D21" i="5" l="1"/>
  <c r="B21" i="5"/>
  <c r="O26" i="3"/>
  <c r="O24" i="3"/>
  <c r="O25" i="3"/>
  <c r="M9" i="4"/>
  <c r="N6" i="4"/>
  <c r="L23" i="4"/>
  <c r="L20" i="4"/>
  <c r="O23" i="3"/>
  <c r="N9" i="4" l="1"/>
  <c r="P6" i="4"/>
  <c r="M23" i="4"/>
  <c r="M20" i="4"/>
  <c r="L22" i="4"/>
  <c r="L21" i="4"/>
  <c r="M21" i="4" l="1"/>
  <c r="M22" i="4"/>
  <c r="N22" i="4" s="1"/>
  <c r="N20" i="4"/>
  <c r="P9" i="4"/>
  <c r="N21" i="4" l="1"/>
  <c r="P20" i="4"/>
</calcChain>
</file>

<file path=xl/sharedStrings.xml><?xml version="1.0" encoding="utf-8"?>
<sst xmlns="http://schemas.openxmlformats.org/spreadsheetml/2006/main" count="368" uniqueCount="263">
  <si>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</si>
  <si>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</si>
  <si>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</si>
  <si>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</si>
  <si>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</si>
  <si>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</si>
  <si>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</si>
  <si>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</si>
  <si>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</si>
  <si>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</si>
  <si>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</si>
  <si>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</si>
  <si>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</si>
  <si>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Budget</t>
  </si>
  <si>
    <t>YTD Actual</t>
  </si>
  <si>
    <t>YTD Var ($)</t>
  </si>
  <si>
    <t>YTD Var (%)</t>
  </si>
  <si>
    <t>Status</t>
  </si>
  <si>
    <t>Type</t>
  </si>
  <si>
    <t>REVENUE</t>
  </si>
  <si>
    <t>Subscription Revenue - Budget</t>
  </si>
  <si>
    <t>Budget</t>
  </si>
  <si>
    <t>Subscription Revenue - Actual</t>
  </si>
  <si>
    <t>Actual</t>
  </si>
  <si>
    <t>Subscription Variance</t>
  </si>
  <si>
    <t>Variance</t>
  </si>
  <si>
    <t>Professional Services - Budget</t>
  </si>
  <si>
    <t>Professional Services - Actual</t>
  </si>
  <si>
    <t>Prof Services Variance</t>
  </si>
  <si>
    <t>Other Revenue - Budget</t>
  </si>
  <si>
    <t>Other Revenue - Actual</t>
  </si>
  <si>
    <t>Other Revenue Variance</t>
  </si>
  <si>
    <t>TOTAL REVENUE</t>
  </si>
  <si>
    <t>Total</t>
  </si>
  <si>
    <t>Total Revenue - Actual</t>
  </si>
  <si>
    <t>EXPENSES</t>
  </si>
  <si>
    <t>Salaries &amp; Benefits - Budget</t>
  </si>
  <si>
    <t>Salaries &amp; Benefits - Actual</t>
  </si>
  <si>
    <t>Salaries Variance</t>
  </si>
  <si>
    <t>Marketing - Budget</t>
  </si>
  <si>
    <t>Marketing - Actual</t>
  </si>
  <si>
    <t>Marketing Variance</t>
  </si>
  <si>
    <t>R&amp;D - Budget</t>
  </si>
  <si>
    <t>R&amp;D - Actual</t>
  </si>
  <si>
    <t>R&amp;D Variance</t>
  </si>
  <si>
    <t>Operations - Budget</t>
  </si>
  <si>
    <t>Operations - Actual</t>
  </si>
  <si>
    <t>Operations Variance</t>
  </si>
  <si>
    <t>G&amp;A - Budget</t>
  </si>
  <si>
    <t>G&amp;A - Actual</t>
  </si>
  <si>
    <t>G&amp;A Variance</t>
  </si>
  <si>
    <t>TOTAL EXPENSES</t>
  </si>
  <si>
    <t>Total Expenses - Actual</t>
  </si>
  <si>
    <t>NET INCOME</t>
  </si>
  <si>
    <t>Net Income - Budget</t>
  </si>
  <si>
    <t>Net Income - Actual</t>
  </si>
  <si>
    <t>HEADCOUNT &amp; PERSONNEL PLANNING MODEL - TechFlow Solutions d.o.o. | FY 2024</t>
  </si>
  <si>
    <t>Department</t>
  </si>
  <si>
    <t>Start HC</t>
  </si>
  <si>
    <t>Q1 Hires</t>
  </si>
  <si>
    <t>Q1 Dept</t>
  </si>
  <si>
    <t>Q1 End</t>
  </si>
  <si>
    <t>Q2 Hires</t>
  </si>
  <si>
    <t>Q2 Dept</t>
  </si>
  <si>
    <t>Q2 End</t>
  </si>
  <si>
    <t>Q3 Hires</t>
  </si>
  <si>
    <t>Q3 Dept</t>
  </si>
  <si>
    <t>Q3 End</t>
  </si>
  <si>
    <t>Q4 Hires</t>
  </si>
  <si>
    <t>Q4 Dept</t>
  </si>
  <si>
    <t>Q4 End</t>
  </si>
  <si>
    <t>Avg Salary ($)</t>
  </si>
  <si>
    <t>Benefits 25%</t>
  </si>
  <si>
    <t>Total Cost/FTE</t>
  </si>
  <si>
    <t>Annual Cost ($)</t>
  </si>
  <si>
    <t>Sales</t>
  </si>
  <si>
    <t>Marketing</t>
  </si>
  <si>
    <t>Product/Engineering</t>
  </si>
  <si>
    <t>Customer Success</t>
  </si>
  <si>
    <t>G&amp;A</t>
  </si>
  <si>
    <t>TOTAL</t>
  </si>
  <si>
    <t>FTE SUMMARY</t>
  </si>
  <si>
    <t>Metric</t>
  </si>
  <si>
    <t>Q1</t>
  </si>
  <si>
    <t>Q2</t>
  </si>
  <si>
    <t>Q3</t>
  </si>
  <si>
    <t>Q4</t>
  </si>
  <si>
    <t>Full Year</t>
  </si>
  <si>
    <t>Beginning Headcount</t>
  </si>
  <si>
    <t>Total Hires</t>
  </si>
  <si>
    <t>Total Departures</t>
  </si>
  <si>
    <t>Ending Headcount</t>
  </si>
  <si>
    <t>Average FTE</t>
  </si>
  <si>
    <t>PERSONNEL COST BREAKDOWN</t>
  </si>
  <si>
    <t>Q1 Cost</t>
  </si>
  <si>
    <t>Q2 Cost</t>
  </si>
  <si>
    <t>Q3 Cost</t>
  </si>
  <si>
    <t>Q4 Cost</t>
  </si>
  <si>
    <t>Annual Cost</t>
  </si>
  <si>
    <t>TOTAL PERSONNEL COST</t>
  </si>
  <si>
    <t>REVENUE FORECASTING MODEL - TechFlow Solutions d.o.o. | FY 2024</t>
  </si>
  <si>
    <t>KEY ASSUMPTIONS</t>
  </si>
  <si>
    <t>Value</t>
  </si>
  <si>
    <t>Notes</t>
  </si>
  <si>
    <t>Starting MRR (Jan)</t>
  </si>
  <si>
    <t>Base subscription revenue</t>
  </si>
  <si>
    <t>Monthly Churn Rate</t>
  </si>
  <si>
    <t>Lost MRR % monthly</t>
  </si>
  <si>
    <t>Expansion Rate</t>
  </si>
  <si>
    <t>Upsell/cross-sell %</t>
  </si>
  <si>
    <t>Avg New MRR/Month</t>
  </si>
  <si>
    <t>New customer acquisition</t>
  </si>
  <si>
    <t>MRR WATERFALL MODEL</t>
  </si>
  <si>
    <t>YTD Total</t>
  </si>
  <si>
    <t>ARR</t>
  </si>
  <si>
    <t>Beginning MRR</t>
  </si>
  <si>
    <t>(+) New MRR</t>
  </si>
  <si>
    <t>(+) Expansion MRR</t>
  </si>
  <si>
    <t>(-) Churned MRR</t>
  </si>
  <si>
    <t>Net MRR Change</t>
  </si>
  <si>
    <t>Ending MRR</t>
  </si>
  <si>
    <t>MoM Growth %</t>
  </si>
  <si>
    <t>-</t>
  </si>
  <si>
    <t>TOTAL REVENUE SUMMARY</t>
  </si>
  <si>
    <t>Revenue Stream</t>
  </si>
  <si>
    <t>Annual Total</t>
  </si>
  <si>
    <t>% of Rev</t>
  </si>
  <si>
    <t>Subscription Revenue</t>
  </si>
  <si>
    <t>Professional Services</t>
  </si>
  <si>
    <t>One-Time Fees</t>
  </si>
  <si>
    <t>MoM Revenue Growth</t>
  </si>
  <si>
    <t>12-MONTH ROLLING FORECAST - TechFlow Solutions d.o.o. | Feb 2024 - Jan 2025</t>
  </si>
  <si>
    <t>12M Total</t>
  </si>
  <si>
    <t>Var %</t>
  </si>
  <si>
    <t>Other Revenue</t>
  </si>
  <si>
    <t>OPERATING EXPENSES</t>
  </si>
  <si>
    <t>Salaries &amp; Benefits</t>
  </si>
  <si>
    <t>R&amp;D</t>
  </si>
  <si>
    <t>Operations</t>
  </si>
  <si>
    <t>TOTAL OPEX</t>
  </si>
  <si>
    <t>PROFITABILITY</t>
  </si>
  <si>
    <t>EBITDA</t>
  </si>
  <si>
    <t>EBITDA Margin %</t>
  </si>
  <si>
    <t>Monthly Burn Rate</t>
  </si>
  <si>
    <t>Avg Burn</t>
  </si>
  <si>
    <t>Revenue Growth % YoY</t>
  </si>
  <si>
    <t>Target</t>
  </si>
  <si>
    <t>FINANCIAL KPIs &amp; EXECUTIVE DASHBOARD - TechFlow Solutions d.o.o. | FY 2024</t>
  </si>
  <si>
    <t>KEY PERFORMANCE INDICATORS</t>
  </si>
  <si>
    <t>Current</t>
  </si>
  <si>
    <t>Trend</t>
  </si>
  <si>
    <t>Monthly Recurring Revenue (MRR)</t>
  </si>
  <si>
    <t>↑ +5.2%</t>
  </si>
  <si>
    <t>Annual Recurring Revenue (ARR)</t>
  </si>
  <si>
    <t>↑ +18.5%</t>
  </si>
  <si>
    <t>Customer Acquisition Cost (CAC)</t>
  </si>
  <si>
    <t>↓ -8.3%</t>
  </si>
  <si>
    <t>Customer Lifetime Value (LTV)</t>
  </si>
  <si>
    <t>↑ +12.5%</t>
  </si>
  <si>
    <t>LTV:CAC Ratio</t>
  </si>
  <si>
    <t>3.0x</t>
  </si>
  <si>
    <t>↑ +0.4x</t>
  </si>
  <si>
    <t>MRR per Employee</t>
  </si>
  <si>
    <t>↑ +6.1%</t>
  </si>
  <si>
    <t>Gross Margin %</t>
  </si>
  <si>
    <t>→ Stable</t>
  </si>
  <si>
    <t>Net Revenue Retention (NRR)</t>
  </si>
  <si>
    <t>↑ +3.0%</t>
  </si>
  <si>
    <t>↓ -0.2%</t>
  </si>
  <si>
    <t>Cash Balance</t>
  </si>
  <si>
    <t>↑ +5.0%</t>
  </si>
  <si>
    <t>Cash Runway (Months)</t>
  </si>
  <si>
    <t>↑ +6 mo</t>
  </si>
  <si>
    <t>Quick Ratio (SaaS)</t>
  </si>
  <si>
    <t>↑ +0.3</t>
  </si>
  <si>
    <t>MONTHLY REVENUE TREND</t>
  </si>
  <si>
    <t>Month</t>
  </si>
  <si>
    <t>MRR</t>
  </si>
  <si>
    <t>Total Rev</t>
  </si>
  <si>
    <t>Growth</t>
  </si>
  <si>
    <t>EXECUTIVE SUMMARY</t>
  </si>
  <si>
    <t>All KPIs on track</t>
  </si>
  <si>
    <t>12 of 12</t>
  </si>
  <si>
    <t>metrics meeting targets</t>
  </si>
  <si>
    <t>YTD Revenue Performance</t>
  </si>
  <si>
    <t>vs $2.43M budget</t>
  </si>
  <si>
    <t>variance</t>
  </si>
  <si>
    <t>Projected Year-End ARR</t>
  </si>
  <si>
    <t>from $1.8M start</t>
  </si>
  <si>
    <t>growth</t>
  </si>
  <si>
    <t>Cash Position Strong</t>
  </si>
  <si>
    <t>✓ Healthy</t>
  </si>
  <si>
    <t>13-WEEK CASH FLOW FORECAST - TechFlow Solutions d.o.o. | Q1-Q2 2024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</si>
  <si>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</si>
  <si>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</si>
  <si>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</si>
  <si>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</si>
  <si>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</si>
  <si>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</si>
  <si>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</si>
  <si>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</si>
  <si>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</si>
  <si>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</si>
  <si>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</si>
  <si>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</si>
  <si>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</si>
  <si>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13W Total</t>
  </si>
  <si>
    <t>Avg/Wk</t>
  </si>
  <si>
    <t>Opening Cash Balance</t>
  </si>
  <si>
    <t>CASH INFLOWS</t>
  </si>
  <si>
    <t>Collections from Customers</t>
  </si>
  <si>
    <t>Other Income</t>
  </si>
  <si>
    <t>Total Inflows</t>
  </si>
  <si>
    <t>CASH OUTFLOWS</t>
  </si>
  <si>
    <t>Payroll (Bi-weekly)</t>
  </si>
  <si>
    <t>Rent &amp; Facilities</t>
  </si>
  <si>
    <t>Marketing Spend</t>
  </si>
  <si>
    <t>Software &amp; Tools</t>
  </si>
  <si>
    <t>Other Operating Expenses</t>
  </si>
  <si>
    <t>Total Outflows</t>
  </si>
  <si>
    <t>NET CASH FLOW</t>
  </si>
  <si>
    <t>ENDING CASH BALANCE</t>
  </si>
  <si>
    <t>Final</t>
  </si>
  <si>
    <t>Min Threshold Check ($200k)</t>
  </si>
  <si>
    <t>Alerts</t>
  </si>
  <si>
    <t>SCENARIO ANALYSIS TOOL (What-If?) - TechFlow Solutions d.o.o. | FY 2024</t>
  </si>
  <si>
    <t>SCENARIO SELECTOR</t>
  </si>
  <si>
    <t>Select Scenario:</t>
  </si>
  <si>
    <t>Base Case</t>
  </si>
  <si>
    <t>SCENARIO ASSUMPTIONS</t>
  </si>
  <si>
    <t>Scenario</t>
  </si>
  <si>
    <t>Revenue Growth</t>
  </si>
  <si>
    <t>OpEx Change</t>
  </si>
  <si>
    <t>Churn Rate</t>
  </si>
  <si>
    <t>Description</t>
  </si>
  <si>
    <t>Expected performance with moderate growth</t>
  </si>
  <si>
    <t>Optimistic</t>
  </si>
  <si>
    <t>Strong market, high retention, accelerated growth</t>
  </si>
  <si>
    <t>Pessimistic</t>
  </si>
  <si>
    <t>Market headwinds, increased competition</t>
  </si>
  <si>
    <t>Crisis Mode</t>
  </si>
  <si>
    <t>Severe downturn, cost cutting required</t>
  </si>
  <si>
    <t>DYNAMIC INCOME STATEMENT</t>
  </si>
  <si>
    <t>Line Item</t>
  </si>
  <si>
    <t>Base Budget</t>
  </si>
  <si>
    <t>Scenario Result</t>
  </si>
  <si>
    <t>Variance ($)</t>
  </si>
  <si>
    <t>Variance (%)</t>
  </si>
  <si>
    <t>Cost of Revenue</t>
  </si>
  <si>
    <t>GROSS PROFIT</t>
  </si>
  <si>
    <t>Marketing &amp; Sales</t>
  </si>
  <si>
    <t>D&amp;A</t>
  </si>
  <si>
    <t>SCENARIO COMPARISON SUMMARY</t>
  </si>
  <si>
    <t>Crisis</t>
  </si>
  <si>
    <t>Revenue</t>
  </si>
  <si>
    <t>Gross Profit</t>
  </si>
  <si>
    <t>Operating Expenses</t>
  </si>
  <si>
    <t>EBITDA Margin</t>
  </si>
  <si>
    <t>Net Income</t>
  </si>
  <si>
    <t>Net Margin</t>
  </si>
  <si>
    <t>Cash Impact (Est.)</t>
  </si>
  <si>
    <t xml:space="preserve">insert case </t>
  </si>
  <si>
    <t>BUDGET VS. ACTUAL VARIANCE ANALYSIS - TechFlow Solutions d.o.o | FY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</si>
</sst>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RSD&quot;#,##0"/>
    <numFmt numFmtId="165" formatCode="0.0%"/>
    <numFmt numFmtId="166" formatCode="&quot;RSD&quot;#,##0;\(&quot;RSD&quot;#,##0\);\-"/>
    <numFmt numFmtId="167" formatCode="0.0"/>
    <numFmt numFmtId="168" formatCode="0.0&quot;x&quot;"/>
    <numFmt numFmtId="169" formatCode="\+0.0%;\-0.0%"/>
    <numFmt numFmtId="170" formatCode="\+0%;\-0%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4">
    <xf numFmtId="0" fontId="0" fillId="0" borderId="0" xfId="0"/>
    <xf numFmtId="0" fontId="7" fillId="2" borderId="0" xfId="0" applyFont="1" applyFill="1"/>
    <xf numFmtId="0" fontId="0" fillId="2" borderId="0" xfId="0" applyFill="1"/>
    <xf numFmtId="0" fontId="11" fillId="2" borderId="0" xfId="0" applyFont="1" applyFill="1"/>
    <xf numFmtId="0" fontId="5" fillId="2" borderId="0" xfId="0" applyFont="1" applyFill="1"/>
    <xf numFmtId="165" fontId="1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7" fillId="3" borderId="1" xfId="0" applyFont="1" applyFill="1" applyBorder="1"/>
    <xf numFmtId="0" fontId="1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64" fontId="13" fillId="2" borderId="0" xfId="0" applyNumberFormat="1" applyFont="1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164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2" borderId="0" xfId="0" applyFill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3" borderId="1" xfId="0" applyFont="1" applyFill="1" applyBorder="1"/>
    <xf numFmtId="165" fontId="1" fillId="4" borderId="1" xfId="0" applyNumberFormat="1" applyFont="1" applyFill="1" applyBorder="1"/>
    <xf numFmtId="0" fontId="3" fillId="2" borderId="1" xfId="0" applyFont="1" applyFill="1" applyBorder="1"/>
    <xf numFmtId="165" fontId="0" fillId="3" borderId="1" xfId="0" applyNumberFormat="1" applyFill="1" applyBorder="1"/>
    <xf numFmtId="1" fontId="0" fillId="3" borderId="1" xfId="1" applyNumberFormat="1" applyFont="1" applyFill="1" applyBorder="1"/>
    <xf numFmtId="1" fontId="0" fillId="2" borderId="1" xfId="1" applyNumberFormat="1" applyFont="1" applyFill="1" applyBorder="1"/>
    <xf numFmtId="1" fontId="0" fillId="4" borderId="1" xfId="1" applyNumberFormat="1" applyFont="1" applyFill="1" applyBorder="1"/>
    <xf numFmtId="1" fontId="1" fillId="3" borderId="1" xfId="1" applyNumberFormat="1" applyFont="1" applyFill="1" applyBorder="1"/>
    <xf numFmtId="1" fontId="1" fillId="2" borderId="1" xfId="1" applyNumberFormat="1" applyFont="1" applyFill="1" applyBorder="1"/>
    <xf numFmtId="0" fontId="1" fillId="4" borderId="1" xfId="0" applyFont="1" applyFill="1" applyBorder="1"/>
    <xf numFmtId="1" fontId="0" fillId="3" borderId="1" xfId="0" applyNumberFormat="1" applyFill="1" applyBorder="1"/>
    <xf numFmtId="1" fontId="1" fillId="3" borderId="1" xfId="0" applyNumberFormat="1" applyFont="1" applyFill="1" applyBorder="1"/>
    <xf numFmtId="16" fontId="1" fillId="2" borderId="1" xfId="0" applyNumberFormat="1" applyFont="1" applyFill="1" applyBorder="1" applyAlignment="1">
      <alignment horizontal="center"/>
    </xf>
    <xf numFmtId="1" fontId="0" fillId="4" borderId="1" xfId="0" applyNumberFormat="1" applyFill="1" applyBorder="1"/>
    <xf numFmtId="1" fontId="0" fillId="2" borderId="0" xfId="0" applyNumberFormat="1" applyFill="1"/>
    <xf numFmtId="166" fontId="0" fillId="3" borderId="1" xfId="0" applyNumberFormat="1" applyFill="1" applyBorder="1"/>
    <xf numFmtId="166" fontId="1" fillId="3" borderId="1" xfId="0" applyNumberFormat="1" applyFont="1" applyFill="1" applyBorder="1"/>
    <xf numFmtId="10" fontId="1" fillId="3" borderId="1" xfId="0" applyNumberFormat="1" applyFont="1" applyFill="1" applyBorder="1"/>
    <xf numFmtId="0" fontId="10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7" fillId="2" borderId="0" xfId="0" applyNumberFormat="1" applyFont="1" applyFill="1"/>
    <xf numFmtId="0" fontId="15" fillId="2" borderId="0" xfId="0" applyFont="1" applyFill="1"/>
    <xf numFmtId="0" fontId="8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1" fontId="7" fillId="2" borderId="1" xfId="0" applyNumberFormat="1" applyFont="1" applyFill="1" applyBorder="1"/>
    <xf numFmtId="168" fontId="8" fillId="3" borderId="1" xfId="0" applyNumberFormat="1" applyFont="1" applyFill="1" applyBorder="1"/>
    <xf numFmtId="167" fontId="8" fillId="3" borderId="1" xfId="0" applyNumberFormat="1" applyFont="1" applyFill="1" applyBorder="1"/>
    <xf numFmtId="165" fontId="7" fillId="4" borderId="1" xfId="0" applyNumberFormat="1" applyFont="1" applyFill="1" applyBorder="1"/>
    <xf numFmtId="165" fontId="8" fillId="4" borderId="1" xfId="0" applyNumberFormat="1" applyFont="1" applyFill="1" applyBorder="1"/>
    <xf numFmtId="167" fontId="7" fillId="4" borderId="1" xfId="0" applyNumberFormat="1" applyFont="1" applyFill="1" applyBorder="1"/>
    <xf numFmtId="0" fontId="7" fillId="4" borderId="1" xfId="0" applyFont="1" applyFill="1" applyBorder="1" applyAlignment="1">
      <alignment horizontal="right"/>
    </xf>
    <xf numFmtId="1" fontId="7" fillId="4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9" fontId="8" fillId="3" borderId="1" xfId="0" applyNumberFormat="1" applyFont="1" applyFill="1" applyBorder="1"/>
    <xf numFmtId="0" fontId="7" fillId="4" borderId="1" xfId="0" applyFont="1" applyFill="1" applyBorder="1"/>
    <xf numFmtId="0" fontId="8" fillId="3" borderId="1" xfId="0" applyFont="1" applyFill="1" applyBorder="1"/>
    <xf numFmtId="1" fontId="8" fillId="3" borderId="1" xfId="0" applyNumberFormat="1" applyFont="1" applyFill="1" applyBorder="1"/>
    <xf numFmtId="1" fontId="8" fillId="4" borderId="1" xfId="0" applyNumberFormat="1" applyFont="1" applyFill="1" applyBorder="1"/>
    <xf numFmtId="1" fontId="7" fillId="3" borderId="1" xfId="0" applyNumberFormat="1" applyFont="1" applyFill="1" applyBorder="1"/>
    <xf numFmtId="0" fontId="15" fillId="2" borderId="1" xfId="0" applyFont="1" applyFill="1" applyBorder="1"/>
    <xf numFmtId="0" fontId="9" fillId="2" borderId="1" xfId="0" applyFont="1" applyFill="1" applyBorder="1"/>
    <xf numFmtId="1" fontId="8" fillId="2" borderId="1" xfId="0" applyNumberFormat="1" applyFont="1" applyFill="1" applyBorder="1"/>
    <xf numFmtId="0" fontId="8" fillId="2" borderId="3" xfId="0" applyFont="1" applyFill="1" applyBorder="1"/>
    <xf numFmtId="170" fontId="7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5" fontId="8" fillId="3" borderId="1" xfId="0" applyNumberFormat="1" applyFont="1" applyFill="1" applyBorder="1"/>
    <xf numFmtId="165" fontId="9" fillId="3" borderId="1" xfId="0" applyNumberFormat="1" applyFont="1" applyFill="1" applyBorder="1"/>
    <xf numFmtId="0" fontId="10" fillId="2" borderId="0" xfId="0" applyFont="1" applyFill="1" applyAlignment="1" applyProtection="1">
      <alignment horizontal="left"/>
      <protection locked="0"/>
    </xf>
    <xf numFmtId="0" fontId="7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11" fillId="2" borderId="0" xfId="0" applyFont="1" applyFill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7" fillId="3" borderId="0" xfId="0" applyFont="1" applyFill="1" applyProtection="1">
      <protection locked="0"/>
    </xf>
    <xf numFmtId="164" fontId="7" fillId="0" borderId="1" xfId="0" applyNumberFormat="1" applyFont="1" applyBorder="1" applyProtection="1">
      <protection locked="0"/>
    </xf>
    <xf numFmtId="0" fontId="7" fillId="4" borderId="2" xfId="0" applyFont="1" applyFill="1" applyBorder="1" applyProtection="1">
      <protection locked="0"/>
    </xf>
    <xf numFmtId="1" fontId="7" fillId="4" borderId="1" xfId="0" applyNumberFormat="1" applyFont="1" applyFill="1" applyBorder="1" applyProtection="1">
      <protection locked="0"/>
    </xf>
    <xf numFmtId="0" fontId="7" fillId="4" borderId="1" xfId="0" applyFont="1" applyFill="1" applyBorder="1" applyProtection="1">
      <protection locked="0"/>
    </xf>
    <xf numFmtId="1" fontId="7" fillId="3" borderId="1" xfId="0" applyNumberFormat="1" applyFont="1" applyFill="1" applyBorder="1" applyProtection="1">
      <protection locked="0"/>
    </xf>
    <xf numFmtId="165" fontId="7" fillId="3" borderId="1" xfId="0" applyNumberFormat="1" applyFont="1" applyFill="1" applyBorder="1" applyProtection="1">
      <protection locked="0"/>
    </xf>
    <xf numFmtId="0" fontId="9" fillId="3" borderId="1" xfId="0" applyFont="1" applyFill="1" applyBorder="1" applyProtection="1">
      <protection locked="0"/>
    </xf>
    <xf numFmtId="0" fontId="7" fillId="3" borderId="1" xfId="0" applyFont="1" applyFill="1" applyBorder="1" applyProtection="1">
      <protection locked="0"/>
    </xf>
    <xf numFmtId="0" fontId="9" fillId="0" borderId="1" xfId="0" applyFont="1" applyBorder="1" applyProtection="1">
      <protection locked="0"/>
    </xf>
    <xf numFmtId="0" fontId="7" fillId="3" borderId="2" xfId="0" applyFont="1" applyFill="1" applyBorder="1" applyProtection="1">
      <protection locked="0"/>
    </xf>
    <xf numFmtId="1" fontId="7" fillId="3" borderId="2" xfId="0" applyNumberFormat="1" applyFont="1" applyFill="1" applyBorder="1" applyProtection="1">
      <protection locked="0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1" xfId="0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5" fontId="1" fillId="3" borderId="1" xfId="0" applyNumberFormat="1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3" borderId="2" xfId="0" applyNumberFormat="1" applyFont="1" applyFill="1" applyBorder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FBB7C2-92F5-8C44-96E8-F5321F9724BF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D4A7-75C7-EA4D-B23F-5F18F6912B6B}">
  <sheetPr>
    <tabColor theme="5" tint="0.59999389629810485"/>
  </sheetPr>
  <dimension ref="A1:T40"/>
  <sheetViews>
    <sheetView tabSelected="1" workbookViewId="0">
      <pane ySplit="4" topLeftCell="A6" activePane="bottomLeft" state="frozen"/>
      <selection pane="bottomLeft" activeCell="I31" sqref="I31"/>
    </sheetView>
  </sheetViews>
  <sheetFormatPr baseColWidth="10" defaultRowHeight="15.6" x14ac:dyDescent="0.3"/>
  <cols>
    <col min="1" max="1" width="33.296875" style="83" customWidth="1"/>
    <col min="2" max="19" width="14.19921875" style="83" customWidth="1"/>
    <col min="20" max="16384" width="11.19921875" style="83"/>
  </cols>
  <sheetData>
    <row r="1" spans="1:20" ht="21" x14ac:dyDescent="0.4">
      <c r="A1" s="81" t="s">
        <v>262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x14ac:dyDescent="0.3">
      <c r="A2" s="84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 x14ac:dyDescent="0.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 x14ac:dyDescent="0.3">
      <c r="A4" s="85" t="s">
        <v>0</v>
      </c>
      <c r="B4" s="86" t="s">
        <v>1</v>
      </c>
      <c r="C4" s="86" t="s">
        <v>2</v>
      </c>
      <c r="D4" s="86" t="s">
        <v>3</v>
      </c>
      <c r="E4" s="86" t="s">
        <v>4</v>
      </c>
      <c r="F4" s="86" t="s">
        <v>5</v>
      </c>
      <c r="G4" s="86" t="s">
        <v>6</v>
      </c>
      <c r="H4" s="86" t="s">
        <v>7</v>
      </c>
      <c r="I4" s="86" t="s">
        <v>8</v>
      </c>
      <c r="J4" s="86" t="s">
        <v>9</v>
      </c>
      <c r="K4" s="86" t="s">
        <v>10</v>
      </c>
      <c r="L4" s="86" t="s">
        <v>11</v>
      </c>
      <c r="M4" s="86" t="s">
        <v>12</v>
      </c>
      <c r="N4" s="87" t="s">
        <v>13</v>
      </c>
      <c r="O4" s="87" t="s">
        <v>14</v>
      </c>
      <c r="P4" s="87" t="s">
        <v>15</v>
      </c>
      <c r="Q4" s="87" t="s">
        <v>16</v>
      </c>
      <c r="R4" s="87" t="s">
        <v>17</v>
      </c>
      <c r="S4" s="87" t="s">
        <v>18</v>
      </c>
      <c r="T4" s="82"/>
    </row>
    <row r="5" spans="1:20" x14ac:dyDescent="0.3">
      <c r="A5" s="88" t="s">
        <v>19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9"/>
      <c r="O5" s="89"/>
      <c r="P5" s="89"/>
      <c r="Q5" s="89"/>
      <c r="R5" s="89"/>
      <c r="S5" s="89"/>
    </row>
    <row r="6" spans="1:20" x14ac:dyDescent="0.3">
      <c r="A6" s="90" t="s">
        <v>20</v>
      </c>
      <c r="B6" s="91">
        <v>400000</v>
      </c>
      <c r="C6" s="92">
        <f>B6*1.03</f>
        <v>412000</v>
      </c>
      <c r="D6" s="92">
        <f t="shared" ref="D6:K6" si="0">C6*1.03</f>
        <v>424360</v>
      </c>
      <c r="E6" s="92">
        <f t="shared" si="0"/>
        <v>437090.8</v>
      </c>
      <c r="F6" s="92">
        <f t="shared" si="0"/>
        <v>450203.52399999998</v>
      </c>
      <c r="G6" s="92">
        <f t="shared" si="0"/>
        <v>463709.62971999997</v>
      </c>
      <c r="H6" s="92">
        <f t="shared" si="0"/>
        <v>477620.91861160001</v>
      </c>
      <c r="I6" s="92">
        <f t="shared" si="0"/>
        <v>491949.54616994801</v>
      </c>
      <c r="J6" s="92">
        <f t="shared" si="0"/>
        <v>506708.03255504643</v>
      </c>
      <c r="K6" s="92">
        <f t="shared" si="0"/>
        <v>521909.27353169787</v>
      </c>
      <c r="L6" s="93">
        <v>180000</v>
      </c>
      <c r="M6" s="93">
        <v>185000</v>
      </c>
      <c r="N6" s="94">
        <f>SUM(B6:M6)</f>
        <v>4950551.7245882927</v>
      </c>
      <c r="O6" s="94">
        <f>SUM(B7:M7)</f>
        <v>5173400</v>
      </c>
      <c r="P6" s="94">
        <f>O6-N6</f>
        <v>222848.27541170735</v>
      </c>
      <c r="Q6" s="95">
        <f>IF(N6=0,0,P6/N6)</f>
        <v>4.5014836286806054E-2</v>
      </c>
      <c r="R6" s="86" t="str">
        <f>IF(Q6&gt;=0,"✓ Favorable",IF(Q6&lt;-0.1,"✗ Unfavorable","— Neutral"))</f>
        <v>✓ Favorable</v>
      </c>
      <c r="S6" s="96" t="s">
        <v>21</v>
      </c>
    </row>
    <row r="7" spans="1:20" x14ac:dyDescent="0.3">
      <c r="A7" s="90" t="s">
        <v>22</v>
      </c>
      <c r="B7" s="91">
        <f>400*1000</f>
        <v>400000</v>
      </c>
      <c r="C7" s="93">
        <f>400*1003</f>
        <v>401200</v>
      </c>
      <c r="D7" s="93">
        <f>400*1007</f>
        <v>402800</v>
      </c>
      <c r="E7" s="93">
        <f>400*1020</f>
        <v>408000</v>
      </c>
      <c r="F7" s="93">
        <f>400*1050</f>
        <v>420000</v>
      </c>
      <c r="G7" s="93">
        <f>400*1100</f>
        <v>440000</v>
      </c>
      <c r="H7" s="93">
        <f>400*1200</f>
        <v>480000</v>
      </c>
      <c r="I7" s="93">
        <f>400*1500</f>
        <v>600000</v>
      </c>
      <c r="J7" s="93">
        <f>400*1500</f>
        <v>600000</v>
      </c>
      <c r="K7" s="93">
        <f>400*1600</f>
        <v>640000</v>
      </c>
      <c r="L7" s="93">
        <v>189000</v>
      </c>
      <c r="M7" s="93">
        <v>192400</v>
      </c>
      <c r="N7" s="94"/>
      <c r="O7" s="94"/>
      <c r="P7" s="94"/>
      <c r="Q7" s="97"/>
      <c r="R7" s="97"/>
      <c r="S7" s="96" t="s">
        <v>23</v>
      </c>
    </row>
    <row r="8" spans="1:20" x14ac:dyDescent="0.3">
      <c r="A8" s="98" t="s">
        <v>24</v>
      </c>
      <c r="B8" s="99">
        <f t="shared" ref="B8:M8" si="1">B7-B6</f>
        <v>0</v>
      </c>
      <c r="C8" s="97">
        <f t="shared" si="1"/>
        <v>-10800</v>
      </c>
      <c r="D8" s="97">
        <f t="shared" si="1"/>
        <v>-21560</v>
      </c>
      <c r="E8" s="97">
        <f t="shared" si="1"/>
        <v>-29090.799999999988</v>
      </c>
      <c r="F8" s="97">
        <f t="shared" si="1"/>
        <v>-30203.523999999976</v>
      </c>
      <c r="G8" s="97">
        <f t="shared" si="1"/>
        <v>-23709.629719999968</v>
      </c>
      <c r="H8" s="97">
        <f t="shared" si="1"/>
        <v>2379.0813883999945</v>
      </c>
      <c r="I8" s="97">
        <f t="shared" si="1"/>
        <v>108050.45383005199</v>
      </c>
      <c r="J8" s="97">
        <f t="shared" si="1"/>
        <v>93291.967444953567</v>
      </c>
      <c r="K8" s="97">
        <f t="shared" si="1"/>
        <v>118090.72646830213</v>
      </c>
      <c r="L8" s="97">
        <f t="shared" si="1"/>
        <v>9000</v>
      </c>
      <c r="M8" s="97">
        <f t="shared" si="1"/>
        <v>7400</v>
      </c>
      <c r="N8" s="94"/>
      <c r="O8" s="94"/>
      <c r="P8" s="94"/>
      <c r="Q8" s="97"/>
      <c r="R8" s="97"/>
      <c r="S8" s="96" t="s">
        <v>25</v>
      </c>
    </row>
    <row r="9" spans="1:20" x14ac:dyDescent="0.3">
      <c r="A9" s="90" t="s">
        <v>26</v>
      </c>
      <c r="B9" s="91">
        <f>280*100</f>
        <v>28000</v>
      </c>
      <c r="C9" s="92">
        <f>B9*1.03</f>
        <v>28840</v>
      </c>
      <c r="D9" s="92">
        <f t="shared" ref="D9:M9" si="2">C9*1.03</f>
        <v>29705.200000000001</v>
      </c>
      <c r="E9" s="92">
        <f t="shared" si="2"/>
        <v>30596.356</v>
      </c>
      <c r="F9" s="92">
        <f t="shared" si="2"/>
        <v>31514.24668</v>
      </c>
      <c r="G9" s="92">
        <f t="shared" si="2"/>
        <v>32459.6740804</v>
      </c>
      <c r="H9" s="92">
        <f t="shared" si="2"/>
        <v>33433.464302812004</v>
      </c>
      <c r="I9" s="92">
        <f t="shared" si="2"/>
        <v>34436.468231896368</v>
      </c>
      <c r="J9" s="92">
        <f t="shared" si="2"/>
        <v>35469.562278853256</v>
      </c>
      <c r="K9" s="92">
        <f t="shared" si="2"/>
        <v>36533.649147218857</v>
      </c>
      <c r="L9" s="92">
        <f t="shared" si="2"/>
        <v>37629.658621635426</v>
      </c>
      <c r="M9" s="92">
        <f t="shared" si="2"/>
        <v>38758.54838028449</v>
      </c>
      <c r="N9" s="94">
        <f>SUM(B9:M9)</f>
        <v>397376.82772310037</v>
      </c>
      <c r="O9" s="94">
        <f>SUM(B10:M10)</f>
        <v>384040</v>
      </c>
      <c r="P9" s="94">
        <f>O9-N9</f>
        <v>-13336.827723100374</v>
      </c>
      <c r="Q9" s="95">
        <f>IF(N9=0,0,P9/N9)</f>
        <v>-3.3562167677260051E-2</v>
      </c>
      <c r="R9" s="86" t="str">
        <f>IF(Q9&gt;=0,"✓ Favorable",IF(Q9&lt;-0.1,"✗ Unfavorable","— Neutral"))</f>
        <v>— Neutral</v>
      </c>
      <c r="S9" s="96" t="s">
        <v>21</v>
      </c>
    </row>
    <row r="10" spans="1:20" x14ac:dyDescent="0.3">
      <c r="A10" s="90" t="s">
        <v>27</v>
      </c>
      <c r="B10" s="91">
        <v>26600</v>
      </c>
      <c r="C10" s="93">
        <v>31900</v>
      </c>
      <c r="D10" s="93">
        <v>34560</v>
      </c>
      <c r="E10" s="93">
        <v>28500</v>
      </c>
      <c r="F10" s="93">
        <v>33480</v>
      </c>
      <c r="G10" s="93">
        <v>31350</v>
      </c>
      <c r="H10" s="93">
        <v>30740</v>
      </c>
      <c r="I10" s="93">
        <v>32100</v>
      </c>
      <c r="J10" s="93">
        <v>36720</v>
      </c>
      <c r="K10" s="93">
        <v>33250</v>
      </c>
      <c r="L10" s="93">
        <v>34880</v>
      </c>
      <c r="M10" s="93">
        <v>29960</v>
      </c>
      <c r="N10" s="97"/>
      <c r="O10" s="97"/>
      <c r="P10" s="97"/>
      <c r="Q10" s="97"/>
      <c r="R10" s="97"/>
      <c r="S10" s="96" t="s">
        <v>23</v>
      </c>
    </row>
    <row r="11" spans="1:20" x14ac:dyDescent="0.3">
      <c r="A11" s="98" t="s">
        <v>28</v>
      </c>
      <c r="B11" s="100">
        <f t="shared" ref="B11:M11" si="3">B10-B9</f>
        <v>-1400</v>
      </c>
      <c r="C11" s="94">
        <f t="shared" si="3"/>
        <v>3060</v>
      </c>
      <c r="D11" s="94">
        <f t="shared" si="3"/>
        <v>4854.7999999999993</v>
      </c>
      <c r="E11" s="94">
        <f t="shared" si="3"/>
        <v>-2096.3559999999998</v>
      </c>
      <c r="F11" s="94">
        <f t="shared" si="3"/>
        <v>1965.7533199999998</v>
      </c>
      <c r="G11" s="94">
        <f t="shared" si="3"/>
        <v>-1109.6740804000001</v>
      </c>
      <c r="H11" s="94">
        <f t="shared" si="3"/>
        <v>-2693.4643028120045</v>
      </c>
      <c r="I11" s="94">
        <f t="shared" si="3"/>
        <v>-2336.4682318963678</v>
      </c>
      <c r="J11" s="94">
        <f t="shared" si="3"/>
        <v>1250.4377211467436</v>
      </c>
      <c r="K11" s="94">
        <f t="shared" si="3"/>
        <v>-3283.6491472188573</v>
      </c>
      <c r="L11" s="94">
        <f t="shared" si="3"/>
        <v>-2749.6586216354262</v>
      </c>
      <c r="M11" s="94">
        <f t="shared" si="3"/>
        <v>-8798.5483802844901</v>
      </c>
      <c r="N11" s="97"/>
      <c r="O11" s="97"/>
      <c r="P11" s="97"/>
      <c r="Q11" s="97"/>
      <c r="R11" s="97"/>
      <c r="S11" s="96" t="s">
        <v>25</v>
      </c>
    </row>
    <row r="12" spans="1:20" x14ac:dyDescent="0.3">
      <c r="A12" s="90" t="s">
        <v>29</v>
      </c>
      <c r="B12" s="91">
        <v>7000</v>
      </c>
      <c r="C12" s="93">
        <v>7500</v>
      </c>
      <c r="D12" s="93">
        <v>8000</v>
      </c>
      <c r="E12" s="93">
        <v>7500</v>
      </c>
      <c r="F12" s="93">
        <v>8000</v>
      </c>
      <c r="G12" s="93">
        <v>8500</v>
      </c>
      <c r="H12" s="93">
        <v>7000</v>
      </c>
      <c r="I12" s="93">
        <v>7500</v>
      </c>
      <c r="J12" s="93">
        <v>9000</v>
      </c>
      <c r="K12" s="93">
        <v>9500</v>
      </c>
      <c r="L12" s="93">
        <v>8000</v>
      </c>
      <c r="M12" s="93">
        <v>7500</v>
      </c>
      <c r="N12" s="97">
        <f>SUM(B12:M12)</f>
        <v>95000</v>
      </c>
      <c r="O12" s="97">
        <f>SUM(B13:M13)</f>
        <v>97915</v>
      </c>
      <c r="P12" s="97">
        <f>O12-N12</f>
        <v>2915</v>
      </c>
      <c r="Q12" s="95">
        <f>IF(N12=0,0,P12/N12)</f>
        <v>3.068421052631579E-2</v>
      </c>
      <c r="R12" s="86" t="str">
        <f>IF(Q12&gt;=0,"✓ Favorable",IF(Q12&lt;-0.1,"✗ Unfavorable","— Neutral"))</f>
        <v>✓ Favorable</v>
      </c>
      <c r="S12" s="96" t="s">
        <v>21</v>
      </c>
    </row>
    <row r="13" spans="1:20" x14ac:dyDescent="0.3">
      <c r="A13" s="90" t="s">
        <v>30</v>
      </c>
      <c r="B13" s="91">
        <v>7350</v>
      </c>
      <c r="C13" s="93">
        <v>7125</v>
      </c>
      <c r="D13" s="93">
        <v>8640</v>
      </c>
      <c r="E13" s="93">
        <v>7875</v>
      </c>
      <c r="F13" s="93">
        <v>8560</v>
      </c>
      <c r="G13" s="93">
        <v>8075</v>
      </c>
      <c r="H13" s="93">
        <v>7420</v>
      </c>
      <c r="I13" s="93">
        <v>7875</v>
      </c>
      <c r="J13" s="93">
        <v>9540</v>
      </c>
      <c r="K13" s="93">
        <v>9025</v>
      </c>
      <c r="L13" s="93">
        <v>8480</v>
      </c>
      <c r="M13" s="93">
        <v>7950</v>
      </c>
      <c r="N13" s="97"/>
      <c r="O13" s="97"/>
      <c r="P13" s="97"/>
      <c r="Q13" s="97"/>
      <c r="R13" s="97"/>
      <c r="S13" s="96" t="s">
        <v>23</v>
      </c>
    </row>
    <row r="14" spans="1:20" x14ac:dyDescent="0.3">
      <c r="A14" s="98" t="s">
        <v>31</v>
      </c>
      <c r="B14" s="99">
        <f t="shared" ref="B14:M14" si="4">B13-B12</f>
        <v>350</v>
      </c>
      <c r="C14" s="97">
        <f t="shared" si="4"/>
        <v>-375</v>
      </c>
      <c r="D14" s="97">
        <f t="shared" si="4"/>
        <v>640</v>
      </c>
      <c r="E14" s="97">
        <f t="shared" si="4"/>
        <v>375</v>
      </c>
      <c r="F14" s="97">
        <f t="shared" si="4"/>
        <v>560</v>
      </c>
      <c r="G14" s="97">
        <f t="shared" si="4"/>
        <v>-425</v>
      </c>
      <c r="H14" s="97">
        <f t="shared" si="4"/>
        <v>420</v>
      </c>
      <c r="I14" s="97">
        <f t="shared" si="4"/>
        <v>375</v>
      </c>
      <c r="J14" s="97">
        <f t="shared" si="4"/>
        <v>540</v>
      </c>
      <c r="K14" s="97">
        <f t="shared" si="4"/>
        <v>-475</v>
      </c>
      <c r="L14" s="97">
        <f t="shared" si="4"/>
        <v>480</v>
      </c>
      <c r="M14" s="97">
        <f t="shared" si="4"/>
        <v>450</v>
      </c>
      <c r="N14" s="97"/>
      <c r="O14" s="97"/>
      <c r="P14" s="97"/>
      <c r="Q14" s="97"/>
      <c r="R14" s="97"/>
      <c r="S14" s="96" t="s">
        <v>25</v>
      </c>
    </row>
    <row r="15" spans="1:20" x14ac:dyDescent="0.3">
      <c r="A15" s="90" t="s">
        <v>32</v>
      </c>
      <c r="B15" s="100">
        <f t="shared" ref="B15:O15" si="5">B6+B9+B12</f>
        <v>435000</v>
      </c>
      <c r="C15" s="94">
        <f t="shared" si="5"/>
        <v>448340</v>
      </c>
      <c r="D15" s="94">
        <f t="shared" si="5"/>
        <v>462065.2</v>
      </c>
      <c r="E15" s="94">
        <f t="shared" si="5"/>
        <v>475187.15599999996</v>
      </c>
      <c r="F15" s="94">
        <f t="shared" si="5"/>
        <v>489717.77067999996</v>
      </c>
      <c r="G15" s="94">
        <f t="shared" si="5"/>
        <v>504669.3038004</v>
      </c>
      <c r="H15" s="94">
        <f t="shared" si="5"/>
        <v>518054.38291441201</v>
      </c>
      <c r="I15" s="94">
        <f t="shared" si="5"/>
        <v>533886.01440184435</v>
      </c>
      <c r="J15" s="94">
        <f t="shared" si="5"/>
        <v>551177.59483389964</v>
      </c>
      <c r="K15" s="94">
        <f t="shared" si="5"/>
        <v>567942.92267891672</v>
      </c>
      <c r="L15" s="94">
        <f t="shared" si="5"/>
        <v>225629.65862163543</v>
      </c>
      <c r="M15" s="94">
        <f t="shared" si="5"/>
        <v>231258.54838028448</v>
      </c>
      <c r="N15" s="94">
        <f t="shared" si="5"/>
        <v>5442928.5523113934</v>
      </c>
      <c r="O15" s="94">
        <f t="shared" si="5"/>
        <v>5655355</v>
      </c>
      <c r="P15" s="94">
        <f>O15-N15</f>
        <v>212426.44768860657</v>
      </c>
      <c r="Q15" s="95">
        <f>IF(N15=0,0,P15/N15)</f>
        <v>3.9027969161637734E-2</v>
      </c>
      <c r="R15" s="86" t="str">
        <f>IF(Q15&gt;=0,"✓ Favorable",IF(Q15&lt;-0.1,"✗ Unfavorable","— Neutral"))</f>
        <v>✓ Favorable</v>
      </c>
      <c r="S15" s="97" t="s">
        <v>33</v>
      </c>
    </row>
    <row r="16" spans="1:20" x14ac:dyDescent="0.3">
      <c r="A16" s="90" t="s">
        <v>34</v>
      </c>
      <c r="B16" s="100">
        <f t="shared" ref="B16:M16" si="6">B7+B10+B13</f>
        <v>433950</v>
      </c>
      <c r="C16" s="94">
        <f t="shared" si="6"/>
        <v>440225</v>
      </c>
      <c r="D16" s="94">
        <f t="shared" si="6"/>
        <v>446000</v>
      </c>
      <c r="E16" s="94">
        <f t="shared" si="6"/>
        <v>444375</v>
      </c>
      <c r="F16" s="94">
        <f t="shared" si="6"/>
        <v>462040</v>
      </c>
      <c r="G16" s="94">
        <f t="shared" si="6"/>
        <v>479425</v>
      </c>
      <c r="H16" s="94">
        <f t="shared" si="6"/>
        <v>518160</v>
      </c>
      <c r="I16" s="94">
        <f t="shared" si="6"/>
        <v>639975</v>
      </c>
      <c r="J16" s="94">
        <f t="shared" si="6"/>
        <v>646260</v>
      </c>
      <c r="K16" s="94">
        <f t="shared" si="6"/>
        <v>682275</v>
      </c>
      <c r="L16" s="94">
        <f t="shared" si="6"/>
        <v>232360</v>
      </c>
      <c r="M16" s="94">
        <f t="shared" si="6"/>
        <v>230310</v>
      </c>
      <c r="N16" s="94"/>
      <c r="O16" s="94"/>
      <c r="P16" s="94"/>
      <c r="Q16" s="97"/>
      <c r="R16" s="97"/>
      <c r="S16" s="97" t="s">
        <v>33</v>
      </c>
    </row>
    <row r="17" spans="1:19" x14ac:dyDescent="0.3">
      <c r="A17" s="10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</row>
    <row r="18" spans="1:19" x14ac:dyDescent="0.3">
      <c r="A18" s="88" t="s">
        <v>35</v>
      </c>
    </row>
    <row r="19" spans="1:19" x14ac:dyDescent="0.3">
      <c r="A19" s="90" t="s">
        <v>36</v>
      </c>
      <c r="B19" s="91">
        <v>95000</v>
      </c>
      <c r="C19" s="93">
        <v>95000</v>
      </c>
      <c r="D19" s="93">
        <v>96000</v>
      </c>
      <c r="E19" s="93">
        <v>98000</v>
      </c>
      <c r="F19" s="93">
        <v>99000</v>
      </c>
      <c r="G19" s="93">
        <v>100000</v>
      </c>
      <c r="H19" s="93">
        <v>102000</v>
      </c>
      <c r="I19" s="93">
        <v>103000</v>
      </c>
      <c r="J19" s="93">
        <v>105000</v>
      </c>
      <c r="K19" s="93">
        <v>107000</v>
      </c>
      <c r="L19" s="93">
        <v>108000</v>
      </c>
      <c r="M19" s="93">
        <v>110000</v>
      </c>
      <c r="N19" s="97">
        <f>SUM(B19:M19)</f>
        <v>1218000</v>
      </c>
      <c r="O19" s="97">
        <f>SUM(B20:M20)</f>
        <v>1223120</v>
      </c>
      <c r="P19" s="97">
        <f>O19-N19</f>
        <v>5120</v>
      </c>
      <c r="Q19" s="95">
        <f>IF(N19=0,0,P19/N19)</f>
        <v>4.2036124794745484E-3</v>
      </c>
      <c r="R19" s="86" t="str">
        <f>IF(Q19&lt;=0,"✓ Favorable",IF(Q19&gt;0.1,"✗ Unfavorable","— Neutral"))</f>
        <v>— Neutral</v>
      </c>
      <c r="S19" s="96" t="s">
        <v>21</v>
      </c>
    </row>
    <row r="20" spans="1:19" x14ac:dyDescent="0.3">
      <c r="A20" s="90" t="s">
        <v>37</v>
      </c>
      <c r="B20" s="91">
        <v>93100</v>
      </c>
      <c r="C20" s="93">
        <v>96900</v>
      </c>
      <c r="D20" s="93">
        <v>94080</v>
      </c>
      <c r="E20" s="93">
        <v>100940</v>
      </c>
      <c r="F20" s="93">
        <v>97020</v>
      </c>
      <c r="G20" s="93">
        <v>103000</v>
      </c>
      <c r="H20" s="93">
        <v>99960</v>
      </c>
      <c r="I20" s="93">
        <v>105060</v>
      </c>
      <c r="J20" s="93">
        <v>103950</v>
      </c>
      <c r="K20" s="93">
        <v>109970</v>
      </c>
      <c r="L20" s="93">
        <v>105840</v>
      </c>
      <c r="M20" s="93">
        <v>113300</v>
      </c>
      <c r="N20" s="97"/>
      <c r="O20" s="97"/>
      <c r="P20" s="97"/>
      <c r="Q20" s="97"/>
      <c r="R20" s="97"/>
      <c r="S20" s="96" t="s">
        <v>23</v>
      </c>
    </row>
    <row r="21" spans="1:19" x14ac:dyDescent="0.3">
      <c r="A21" s="98" t="s">
        <v>38</v>
      </c>
      <c r="B21" s="99">
        <f t="shared" ref="B21:M21" si="7">B20-B19</f>
        <v>-1900</v>
      </c>
      <c r="C21" s="97">
        <f t="shared" si="7"/>
        <v>1900</v>
      </c>
      <c r="D21" s="97">
        <f t="shared" si="7"/>
        <v>-1920</v>
      </c>
      <c r="E21" s="97">
        <f t="shared" si="7"/>
        <v>2940</v>
      </c>
      <c r="F21" s="97">
        <f t="shared" si="7"/>
        <v>-1980</v>
      </c>
      <c r="G21" s="97">
        <f t="shared" si="7"/>
        <v>3000</v>
      </c>
      <c r="H21" s="97">
        <f t="shared" si="7"/>
        <v>-2040</v>
      </c>
      <c r="I21" s="97">
        <f t="shared" si="7"/>
        <v>2060</v>
      </c>
      <c r="J21" s="97">
        <f t="shared" si="7"/>
        <v>-1050</v>
      </c>
      <c r="K21" s="97">
        <f t="shared" si="7"/>
        <v>2970</v>
      </c>
      <c r="L21" s="97">
        <f t="shared" si="7"/>
        <v>-2160</v>
      </c>
      <c r="M21" s="97">
        <f t="shared" si="7"/>
        <v>3300</v>
      </c>
      <c r="N21" s="97"/>
      <c r="O21" s="97"/>
      <c r="P21" s="97"/>
      <c r="Q21" s="97"/>
      <c r="R21" s="97"/>
      <c r="S21" s="96" t="s">
        <v>25</v>
      </c>
    </row>
    <row r="22" spans="1:19" x14ac:dyDescent="0.3">
      <c r="A22" s="90" t="s">
        <v>39</v>
      </c>
      <c r="B22" s="91">
        <v>18000</v>
      </c>
      <c r="C22" s="93">
        <v>19000</v>
      </c>
      <c r="D22" s="93">
        <v>20000</v>
      </c>
      <c r="E22" s="93">
        <v>21000</v>
      </c>
      <c r="F22" s="93">
        <v>22000</v>
      </c>
      <c r="G22" s="93">
        <v>20000</v>
      </c>
      <c r="H22" s="93">
        <v>18000</v>
      </c>
      <c r="I22" s="93">
        <v>19000</v>
      </c>
      <c r="J22" s="93">
        <v>22000</v>
      </c>
      <c r="K22" s="93">
        <v>24000</v>
      </c>
      <c r="L22" s="93">
        <v>23000</v>
      </c>
      <c r="M22" s="93">
        <v>20000</v>
      </c>
      <c r="N22" s="97">
        <f>SUM(B22:M22)</f>
        <v>246000</v>
      </c>
      <c r="O22" s="97">
        <f>SUM(B23:M23)</f>
        <v>252500</v>
      </c>
      <c r="P22" s="97">
        <f>O22-N22</f>
        <v>6500</v>
      </c>
      <c r="Q22" s="95">
        <f>IF(N22=0,0,P22/N22)</f>
        <v>2.6422764227642278E-2</v>
      </c>
      <c r="R22" s="86" t="str">
        <f>IF(Q22&lt;=0,"✓ Favorable",IF(Q22&gt;0.1,"✗ Unfavorable","— Neutral"))</f>
        <v>— Neutral</v>
      </c>
      <c r="S22" s="96" t="s">
        <v>21</v>
      </c>
    </row>
    <row r="23" spans="1:19" x14ac:dyDescent="0.3">
      <c r="A23" s="90" t="s">
        <v>40</v>
      </c>
      <c r="B23" s="91">
        <v>19260</v>
      </c>
      <c r="C23" s="93">
        <v>18050</v>
      </c>
      <c r="D23" s="93">
        <v>21400</v>
      </c>
      <c r="E23" s="93">
        <v>19950</v>
      </c>
      <c r="F23" s="93">
        <v>23540</v>
      </c>
      <c r="G23" s="93">
        <v>19200</v>
      </c>
      <c r="H23" s="93">
        <v>19080</v>
      </c>
      <c r="I23" s="93">
        <v>20330</v>
      </c>
      <c r="J23" s="93">
        <v>23320</v>
      </c>
      <c r="K23" s="93">
        <v>22560</v>
      </c>
      <c r="L23" s="93">
        <v>24610</v>
      </c>
      <c r="M23" s="93">
        <v>21200</v>
      </c>
      <c r="N23" s="97"/>
      <c r="O23" s="97"/>
      <c r="P23" s="97"/>
      <c r="Q23" s="97"/>
      <c r="R23" s="97"/>
      <c r="S23" s="96" t="s">
        <v>23</v>
      </c>
    </row>
    <row r="24" spans="1:19" x14ac:dyDescent="0.3">
      <c r="A24" s="98" t="s">
        <v>41</v>
      </c>
      <c r="B24" s="99">
        <f>B23-B22</f>
        <v>1260</v>
      </c>
      <c r="C24" s="97">
        <f t="shared" ref="C24:M24" si="8">C23-C22</f>
        <v>-950</v>
      </c>
      <c r="D24" s="97">
        <f t="shared" si="8"/>
        <v>1400</v>
      </c>
      <c r="E24" s="97">
        <f t="shared" si="8"/>
        <v>-1050</v>
      </c>
      <c r="F24" s="97">
        <f t="shared" si="8"/>
        <v>1540</v>
      </c>
      <c r="G24" s="97">
        <f t="shared" si="8"/>
        <v>-800</v>
      </c>
      <c r="H24" s="97">
        <f t="shared" si="8"/>
        <v>1080</v>
      </c>
      <c r="I24" s="97">
        <f t="shared" si="8"/>
        <v>1330</v>
      </c>
      <c r="J24" s="97">
        <f t="shared" si="8"/>
        <v>1320</v>
      </c>
      <c r="K24" s="97">
        <f t="shared" si="8"/>
        <v>-1440</v>
      </c>
      <c r="L24" s="97">
        <f t="shared" si="8"/>
        <v>1610</v>
      </c>
      <c r="M24" s="97">
        <f t="shared" si="8"/>
        <v>1200</v>
      </c>
      <c r="N24" s="97"/>
      <c r="O24" s="97"/>
      <c r="P24" s="97"/>
      <c r="Q24" s="97"/>
      <c r="R24" s="97"/>
      <c r="S24" s="96" t="s">
        <v>25</v>
      </c>
    </row>
    <row r="25" spans="1:19" x14ac:dyDescent="0.3">
      <c r="A25" s="90" t="s">
        <v>42</v>
      </c>
      <c r="B25" s="91">
        <v>25000</v>
      </c>
      <c r="C25" s="93">
        <v>25500</v>
      </c>
      <c r="D25" s="93">
        <v>26000</v>
      </c>
      <c r="E25" s="93">
        <v>26500</v>
      </c>
      <c r="F25" s="93">
        <v>27000</v>
      </c>
      <c r="G25" s="93">
        <v>27500</v>
      </c>
      <c r="H25" s="93">
        <v>28000</v>
      </c>
      <c r="I25" s="93">
        <v>28500</v>
      </c>
      <c r="J25" s="93">
        <v>29000</v>
      </c>
      <c r="K25" s="93">
        <v>29500</v>
      </c>
      <c r="L25" s="93">
        <v>30000</v>
      </c>
      <c r="M25" s="93">
        <v>30500</v>
      </c>
      <c r="N25" s="97">
        <f>SUM(B25:M25)</f>
        <v>333000</v>
      </c>
      <c r="O25" s="97">
        <f>SUM(B26:M26)</f>
        <v>336110</v>
      </c>
      <c r="P25" s="97">
        <f>O25-N25</f>
        <v>3110</v>
      </c>
      <c r="Q25" s="95">
        <f>IF(N25=0,0,P25/N25)</f>
        <v>9.3393393393393399E-3</v>
      </c>
      <c r="R25" s="86" t="str">
        <f>IF(Q25&lt;=0,"✓ Favorable",IF(Q25&gt;0.1,"✗ Unfavorable","— Neutral"))</f>
        <v>— Neutral</v>
      </c>
      <c r="S25" s="96" t="s">
        <v>21</v>
      </c>
    </row>
    <row r="26" spans="1:19" x14ac:dyDescent="0.3">
      <c r="A26" s="90" t="s">
        <v>43</v>
      </c>
      <c r="B26" s="91">
        <v>24250</v>
      </c>
      <c r="C26" s="93">
        <v>26775</v>
      </c>
      <c r="D26" s="93">
        <v>25480</v>
      </c>
      <c r="E26" s="93">
        <v>27825</v>
      </c>
      <c r="F26" s="93">
        <v>26190</v>
      </c>
      <c r="G26" s="93">
        <v>28875</v>
      </c>
      <c r="H26" s="93">
        <v>27160</v>
      </c>
      <c r="I26" s="93">
        <v>29925</v>
      </c>
      <c r="J26" s="93">
        <v>28130</v>
      </c>
      <c r="K26" s="93">
        <v>30680</v>
      </c>
      <c r="L26" s="93">
        <v>29100</v>
      </c>
      <c r="M26" s="93">
        <v>31720</v>
      </c>
      <c r="N26" s="97"/>
      <c r="O26" s="97"/>
      <c r="P26" s="97"/>
      <c r="Q26" s="97"/>
      <c r="R26" s="97"/>
      <c r="S26" s="96" t="s">
        <v>23</v>
      </c>
    </row>
    <row r="27" spans="1:19" x14ac:dyDescent="0.3">
      <c r="A27" s="98" t="s">
        <v>44</v>
      </c>
      <c r="B27" s="99">
        <f t="shared" ref="B27:M27" si="9">B26-B25</f>
        <v>-750</v>
      </c>
      <c r="C27" s="97">
        <f t="shared" si="9"/>
        <v>1275</v>
      </c>
      <c r="D27" s="97">
        <f t="shared" si="9"/>
        <v>-520</v>
      </c>
      <c r="E27" s="97">
        <f t="shared" si="9"/>
        <v>1325</v>
      </c>
      <c r="F27" s="97">
        <f t="shared" si="9"/>
        <v>-810</v>
      </c>
      <c r="G27" s="97">
        <f t="shared" si="9"/>
        <v>1375</v>
      </c>
      <c r="H27" s="97">
        <f t="shared" si="9"/>
        <v>-840</v>
      </c>
      <c r="I27" s="97">
        <f t="shared" si="9"/>
        <v>1425</v>
      </c>
      <c r="J27" s="97">
        <f t="shared" si="9"/>
        <v>-870</v>
      </c>
      <c r="K27" s="97">
        <f t="shared" si="9"/>
        <v>1180</v>
      </c>
      <c r="L27" s="97">
        <f t="shared" si="9"/>
        <v>-900</v>
      </c>
      <c r="M27" s="97">
        <f t="shared" si="9"/>
        <v>1220</v>
      </c>
      <c r="N27" s="97"/>
      <c r="O27" s="97"/>
      <c r="P27" s="97"/>
      <c r="Q27" s="97"/>
      <c r="R27" s="97"/>
      <c r="S27" s="96" t="s">
        <v>25</v>
      </c>
    </row>
    <row r="28" spans="1:19" x14ac:dyDescent="0.3">
      <c r="A28" s="90" t="s">
        <v>45</v>
      </c>
      <c r="B28" s="91">
        <v>12000</v>
      </c>
      <c r="C28" s="93">
        <v>12000</v>
      </c>
      <c r="D28" s="93">
        <v>12500</v>
      </c>
      <c r="E28" s="93">
        <v>12500</v>
      </c>
      <c r="F28" s="93">
        <v>13000</v>
      </c>
      <c r="G28" s="93">
        <v>13000</v>
      </c>
      <c r="H28" s="93">
        <v>13500</v>
      </c>
      <c r="I28" s="93">
        <v>13500</v>
      </c>
      <c r="J28" s="93">
        <v>14000</v>
      </c>
      <c r="K28" s="93">
        <v>14000</v>
      </c>
      <c r="L28" s="93">
        <v>14500</v>
      </c>
      <c r="M28" s="93">
        <v>14500</v>
      </c>
      <c r="N28" s="97">
        <f>SUM(B28:M28)</f>
        <v>159000</v>
      </c>
      <c r="O28" s="97">
        <f>SUM(B29:M29)</f>
        <v>159795</v>
      </c>
      <c r="P28" s="97">
        <f>O28-N28</f>
        <v>795</v>
      </c>
      <c r="Q28" s="95">
        <f>IF(N28=0,0,P28/N28)</f>
        <v>5.0000000000000001E-3</v>
      </c>
      <c r="R28" s="86" t="str">
        <f>IF(Q28&lt;=0,"✓ Favorable",IF(Q28&gt;0.1,"✗ Unfavorable","— Neutral"))</f>
        <v>— Neutral</v>
      </c>
      <c r="S28" s="96" t="s">
        <v>21</v>
      </c>
    </row>
    <row r="29" spans="1:19" x14ac:dyDescent="0.3">
      <c r="A29" s="90" t="s">
        <v>46</v>
      </c>
      <c r="B29" s="91">
        <v>11640</v>
      </c>
      <c r="C29" s="93">
        <v>12480</v>
      </c>
      <c r="D29" s="93">
        <v>12125</v>
      </c>
      <c r="E29" s="93">
        <v>13000</v>
      </c>
      <c r="F29" s="93">
        <v>12610</v>
      </c>
      <c r="G29" s="93">
        <v>13520</v>
      </c>
      <c r="H29" s="93">
        <v>13095</v>
      </c>
      <c r="I29" s="93">
        <v>14040</v>
      </c>
      <c r="J29" s="93">
        <v>13580</v>
      </c>
      <c r="K29" s="93">
        <v>14560</v>
      </c>
      <c r="L29" s="93">
        <v>14065</v>
      </c>
      <c r="M29" s="93">
        <v>15080</v>
      </c>
      <c r="N29" s="97"/>
      <c r="O29" s="97"/>
      <c r="P29" s="97"/>
      <c r="Q29" s="97"/>
      <c r="R29" s="97"/>
      <c r="S29" s="96" t="s">
        <v>23</v>
      </c>
    </row>
    <row r="30" spans="1:19" x14ac:dyDescent="0.3">
      <c r="A30" s="98" t="s">
        <v>47</v>
      </c>
      <c r="B30" s="99">
        <f t="shared" ref="B30:M30" si="10">B29-B28</f>
        <v>-360</v>
      </c>
      <c r="C30" s="97">
        <f t="shared" si="10"/>
        <v>480</v>
      </c>
      <c r="D30" s="97">
        <f t="shared" si="10"/>
        <v>-375</v>
      </c>
      <c r="E30" s="97">
        <f t="shared" si="10"/>
        <v>500</v>
      </c>
      <c r="F30" s="97">
        <f t="shared" si="10"/>
        <v>-390</v>
      </c>
      <c r="G30" s="97">
        <f t="shared" si="10"/>
        <v>520</v>
      </c>
      <c r="H30" s="97">
        <f t="shared" si="10"/>
        <v>-405</v>
      </c>
      <c r="I30" s="97">
        <f t="shared" si="10"/>
        <v>540</v>
      </c>
      <c r="J30" s="97">
        <f t="shared" si="10"/>
        <v>-420</v>
      </c>
      <c r="K30" s="97">
        <f t="shared" si="10"/>
        <v>560</v>
      </c>
      <c r="L30" s="97">
        <f t="shared" si="10"/>
        <v>-435</v>
      </c>
      <c r="M30" s="97">
        <f t="shared" si="10"/>
        <v>580</v>
      </c>
      <c r="N30" s="97"/>
      <c r="O30" s="97"/>
      <c r="P30" s="97"/>
      <c r="Q30" s="97"/>
      <c r="R30" s="97"/>
      <c r="S30" s="96" t="s">
        <v>25</v>
      </c>
    </row>
    <row r="31" spans="1:19" x14ac:dyDescent="0.3">
      <c r="A31" s="90" t="s">
        <v>48</v>
      </c>
      <c r="B31" s="91">
        <v>8000</v>
      </c>
      <c r="C31" s="93">
        <v>8000</v>
      </c>
      <c r="D31" s="93">
        <v>8200</v>
      </c>
      <c r="E31" s="93">
        <v>8200</v>
      </c>
      <c r="F31" s="93">
        <v>8400</v>
      </c>
      <c r="G31" s="93">
        <v>8400</v>
      </c>
      <c r="H31" s="93">
        <v>8600</v>
      </c>
      <c r="I31" s="93">
        <v>8600</v>
      </c>
      <c r="J31" s="93">
        <v>8800</v>
      </c>
      <c r="K31" s="93">
        <v>8800</v>
      </c>
      <c r="L31" s="93">
        <v>9000</v>
      </c>
      <c r="M31" s="93">
        <v>9000</v>
      </c>
      <c r="N31" s="97">
        <f>SUM(B31:M31)</f>
        <v>102000</v>
      </c>
      <c r="O31" s="97">
        <f>SUM(B32:M32)</f>
        <v>102510</v>
      </c>
      <c r="P31" s="97">
        <f>O31-N31</f>
        <v>510</v>
      </c>
      <c r="Q31" s="95">
        <f>IF(N31=0,0,P31/N31)</f>
        <v>5.0000000000000001E-3</v>
      </c>
      <c r="R31" s="86" t="str">
        <f>IF(Q31&lt;=0,"✓ Favorable",IF(Q31&gt;0.1,"✗ Unfavorable","— Neutral"))</f>
        <v>— Neutral</v>
      </c>
      <c r="S31" s="96" t="s">
        <v>21</v>
      </c>
    </row>
    <row r="32" spans="1:19" x14ac:dyDescent="0.3">
      <c r="A32" s="90" t="s">
        <v>49</v>
      </c>
      <c r="B32" s="91">
        <v>7760</v>
      </c>
      <c r="C32" s="93">
        <v>8320</v>
      </c>
      <c r="D32" s="93">
        <v>7954</v>
      </c>
      <c r="E32" s="93">
        <v>8528</v>
      </c>
      <c r="F32" s="93">
        <v>8148</v>
      </c>
      <c r="G32" s="93">
        <v>8736</v>
      </c>
      <c r="H32" s="93">
        <v>8342</v>
      </c>
      <c r="I32" s="93">
        <v>8944</v>
      </c>
      <c r="J32" s="93">
        <v>8536</v>
      </c>
      <c r="K32" s="93">
        <v>9152</v>
      </c>
      <c r="L32" s="93">
        <v>8730</v>
      </c>
      <c r="M32" s="93">
        <v>9360</v>
      </c>
      <c r="N32" s="97"/>
      <c r="O32" s="97"/>
      <c r="P32" s="97"/>
      <c r="Q32" s="97"/>
      <c r="R32" s="97"/>
      <c r="S32" s="96" t="s">
        <v>23</v>
      </c>
    </row>
    <row r="33" spans="1:19" x14ac:dyDescent="0.3">
      <c r="A33" s="98" t="s">
        <v>50</v>
      </c>
      <c r="B33" s="99">
        <f t="shared" ref="B33:M33" si="11">B32-B31</f>
        <v>-240</v>
      </c>
      <c r="C33" s="97">
        <f t="shared" si="11"/>
        <v>320</v>
      </c>
      <c r="D33" s="97">
        <f t="shared" si="11"/>
        <v>-246</v>
      </c>
      <c r="E33" s="97">
        <f t="shared" si="11"/>
        <v>328</v>
      </c>
      <c r="F33" s="97">
        <f t="shared" si="11"/>
        <v>-252</v>
      </c>
      <c r="G33" s="97">
        <f t="shared" si="11"/>
        <v>336</v>
      </c>
      <c r="H33" s="97">
        <f t="shared" si="11"/>
        <v>-258</v>
      </c>
      <c r="I33" s="97">
        <f t="shared" si="11"/>
        <v>344</v>
      </c>
      <c r="J33" s="97">
        <f t="shared" si="11"/>
        <v>-264</v>
      </c>
      <c r="K33" s="97">
        <f t="shared" si="11"/>
        <v>352</v>
      </c>
      <c r="L33" s="97">
        <f t="shared" si="11"/>
        <v>-270</v>
      </c>
      <c r="M33" s="97">
        <f t="shared" si="11"/>
        <v>360</v>
      </c>
      <c r="N33" s="97"/>
      <c r="O33" s="97"/>
      <c r="P33" s="97"/>
      <c r="Q33" s="97"/>
      <c r="R33" s="97"/>
      <c r="S33" s="96" t="s">
        <v>25</v>
      </c>
    </row>
    <row r="34" spans="1:19" x14ac:dyDescent="0.3">
      <c r="A34" s="90" t="s">
        <v>51</v>
      </c>
      <c r="B34" s="97">
        <f>B19+B22+B25+B28+B31</f>
        <v>158000</v>
      </c>
      <c r="C34" s="97">
        <f>C19+C22+C25+C28+C31</f>
        <v>159500</v>
      </c>
      <c r="D34" s="97">
        <f t="shared" ref="C34:O34" si="12">D19+D22+D25+D28+D31</f>
        <v>162700</v>
      </c>
      <c r="E34" s="97">
        <f t="shared" si="12"/>
        <v>166200</v>
      </c>
      <c r="F34" s="97">
        <f t="shared" si="12"/>
        <v>169400</v>
      </c>
      <c r="G34" s="97">
        <f t="shared" si="12"/>
        <v>168900</v>
      </c>
      <c r="H34" s="97">
        <f t="shared" si="12"/>
        <v>170100</v>
      </c>
      <c r="I34" s="97">
        <f t="shared" si="12"/>
        <v>172600</v>
      </c>
      <c r="J34" s="97">
        <f t="shared" si="12"/>
        <v>178800</v>
      </c>
      <c r="K34" s="97">
        <f t="shared" si="12"/>
        <v>183300</v>
      </c>
      <c r="L34" s="97">
        <f t="shared" si="12"/>
        <v>184500</v>
      </c>
      <c r="M34" s="97">
        <f t="shared" si="12"/>
        <v>184000</v>
      </c>
      <c r="N34" s="97">
        <f t="shared" si="12"/>
        <v>2058000</v>
      </c>
      <c r="O34" s="97">
        <f t="shared" si="12"/>
        <v>2074035</v>
      </c>
      <c r="P34" s="97">
        <f>O34-N34</f>
        <v>16035</v>
      </c>
      <c r="Q34" s="95">
        <f>IF(N34=0,0,P34/N34)</f>
        <v>7.7915451895043735E-3</v>
      </c>
      <c r="R34" s="86" t="str">
        <f>IF(Q34&lt;=0,"✓ Favorable",IF(Q34&gt;0.1,"✗ Unfavorable","— Neutral"))</f>
        <v>— Neutral</v>
      </c>
      <c r="S34" s="97" t="s">
        <v>33</v>
      </c>
    </row>
    <row r="35" spans="1:19" x14ac:dyDescent="0.3">
      <c r="A35" s="90" t="s">
        <v>52</v>
      </c>
      <c r="B35" s="99">
        <f t="shared" ref="B35:M35" si="13">B20+B23+B26+B29+B32</f>
        <v>156010</v>
      </c>
      <c r="C35" s="97">
        <f t="shared" si="13"/>
        <v>162525</v>
      </c>
      <c r="D35" s="97">
        <f t="shared" si="13"/>
        <v>161039</v>
      </c>
      <c r="E35" s="97">
        <f t="shared" si="13"/>
        <v>170243</v>
      </c>
      <c r="F35" s="97">
        <f t="shared" si="13"/>
        <v>167508</v>
      </c>
      <c r="G35" s="97">
        <f t="shared" si="13"/>
        <v>173331</v>
      </c>
      <c r="H35" s="97">
        <f t="shared" si="13"/>
        <v>167637</v>
      </c>
      <c r="I35" s="97">
        <f t="shared" si="13"/>
        <v>178299</v>
      </c>
      <c r="J35" s="97">
        <f t="shared" si="13"/>
        <v>177516</v>
      </c>
      <c r="K35" s="97">
        <f t="shared" si="13"/>
        <v>186922</v>
      </c>
      <c r="L35" s="97">
        <f t="shared" si="13"/>
        <v>182345</v>
      </c>
      <c r="M35" s="97">
        <f t="shared" si="13"/>
        <v>190660</v>
      </c>
      <c r="N35" s="97"/>
      <c r="O35" s="97"/>
      <c r="P35" s="97"/>
      <c r="Q35" s="97"/>
      <c r="R35" s="97"/>
      <c r="S35" s="97" t="s">
        <v>33</v>
      </c>
    </row>
    <row r="36" spans="1:19" x14ac:dyDescent="0.3">
      <c r="A36" s="102"/>
    </row>
    <row r="37" spans="1:19" x14ac:dyDescent="0.3">
      <c r="A37" s="103" t="s">
        <v>53</v>
      </c>
    </row>
    <row r="38" spans="1:19" x14ac:dyDescent="0.3">
      <c r="A38" s="104" t="s">
        <v>54</v>
      </c>
      <c r="B38" s="113">
        <f>B15-B34</f>
        <v>277000</v>
      </c>
      <c r="C38" s="106">
        <f t="shared" ref="C38:M38" si="14">C15-C34</f>
        <v>288840</v>
      </c>
      <c r="D38" s="106">
        <f t="shared" si="14"/>
        <v>299365.2</v>
      </c>
      <c r="E38" s="106">
        <f t="shared" si="14"/>
        <v>308987.15599999996</v>
      </c>
      <c r="F38" s="106">
        <f t="shared" si="14"/>
        <v>320317.77067999996</v>
      </c>
      <c r="G38" s="106">
        <f t="shared" si="14"/>
        <v>335769.3038004</v>
      </c>
      <c r="H38" s="106">
        <f t="shared" si="14"/>
        <v>347954.38291441201</v>
      </c>
      <c r="I38" s="106">
        <f t="shared" si="14"/>
        <v>361286.01440184435</v>
      </c>
      <c r="J38" s="106">
        <f t="shared" si="14"/>
        <v>372377.59483389964</v>
      </c>
      <c r="K38" s="106">
        <f t="shared" si="14"/>
        <v>384642.92267891672</v>
      </c>
      <c r="L38" s="106">
        <f t="shared" si="14"/>
        <v>41129.658621635434</v>
      </c>
      <c r="M38" s="106">
        <f t="shared" si="14"/>
        <v>47258.548380284483</v>
      </c>
      <c r="N38" s="106">
        <f>SUM(B38:M38)</f>
        <v>3384928.552311392</v>
      </c>
      <c r="O38" s="106">
        <f>SUM(B39:M39)</f>
        <v>3581320</v>
      </c>
      <c r="P38" s="106">
        <f>O38-N38</f>
        <v>196391.44768860796</v>
      </c>
      <c r="Q38" s="107">
        <f>IF(N38=0,0,P38/N38)</f>
        <v>5.8019377559535915E-2</v>
      </c>
      <c r="R38" s="108" t="str">
        <f>IF(Q38&gt;=0,"✓ Favorable",IF(Q38&lt;-0.1,"✗ Unfavorable","— Neutral"))</f>
        <v>✓ Favorable</v>
      </c>
      <c r="S38" s="109" t="s">
        <v>21</v>
      </c>
    </row>
    <row r="39" spans="1:19" x14ac:dyDescent="0.3">
      <c r="A39" s="104" t="s">
        <v>55</v>
      </c>
      <c r="B39" s="105">
        <f t="shared" ref="B39:M39" si="15">B16-B35</f>
        <v>277940</v>
      </c>
      <c r="C39" s="106">
        <f t="shared" si="15"/>
        <v>277700</v>
      </c>
      <c r="D39" s="106">
        <f t="shared" si="15"/>
        <v>284961</v>
      </c>
      <c r="E39" s="106">
        <f t="shared" si="15"/>
        <v>274132</v>
      </c>
      <c r="F39" s="106">
        <f t="shared" si="15"/>
        <v>294532</v>
      </c>
      <c r="G39" s="106">
        <f t="shared" si="15"/>
        <v>306094</v>
      </c>
      <c r="H39" s="106">
        <f t="shared" si="15"/>
        <v>350523</v>
      </c>
      <c r="I39" s="106">
        <f t="shared" si="15"/>
        <v>461676</v>
      </c>
      <c r="J39" s="106">
        <f t="shared" si="15"/>
        <v>468744</v>
      </c>
      <c r="K39" s="106">
        <f t="shared" si="15"/>
        <v>495353</v>
      </c>
      <c r="L39" s="106">
        <f t="shared" si="15"/>
        <v>50015</v>
      </c>
      <c r="M39" s="106">
        <f t="shared" si="15"/>
        <v>39650</v>
      </c>
      <c r="N39" s="110"/>
      <c r="O39" s="110"/>
      <c r="P39" s="110"/>
      <c r="Q39" s="110"/>
      <c r="R39" s="110"/>
      <c r="S39" s="109" t="s">
        <v>23</v>
      </c>
    </row>
    <row r="40" spans="1:19" x14ac:dyDescent="0.3">
      <c r="A40" s="1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D162-BC22-2240-A383-012A9A29BD49}">
  <dimension ref="A1:R27"/>
  <sheetViews>
    <sheetView workbookViewId="0">
      <pane ySplit="4" topLeftCell="A5" activePane="bottomLeft" state="frozen"/>
      <selection pane="bottomLeft"/>
    </sheetView>
  </sheetViews>
  <sheetFormatPr baseColWidth="10" defaultRowHeight="15.6" x14ac:dyDescent="0.3"/>
  <cols>
    <col min="1" max="1" width="25" style="2" customWidth="1"/>
    <col min="2" max="18" width="13.296875" style="2" customWidth="1"/>
    <col min="19" max="16384" width="11.19921875" style="2"/>
  </cols>
  <sheetData>
    <row r="1" spans="1:18" ht="21" x14ac:dyDescent="0.4">
      <c r="A1" s="11" t="s">
        <v>56</v>
      </c>
    </row>
    <row r="2" spans="1:18" x14ac:dyDescent="0.3">
      <c r="A2" s="22"/>
    </row>
    <row r="4" spans="1:18" x14ac:dyDescent="0.3">
      <c r="A4" s="23" t="s">
        <v>57</v>
      </c>
      <c r="B4" s="15" t="s">
        <v>58</v>
      </c>
      <c r="C4" s="15" t="s">
        <v>59</v>
      </c>
      <c r="D4" s="15" t="s">
        <v>60</v>
      </c>
      <c r="E4" s="15" t="s">
        <v>61</v>
      </c>
      <c r="F4" s="15" t="s">
        <v>62</v>
      </c>
      <c r="G4" s="15" t="s">
        <v>63</v>
      </c>
      <c r="H4" s="15" t="s">
        <v>64</v>
      </c>
      <c r="I4" s="15" t="s">
        <v>65</v>
      </c>
      <c r="J4" s="15" t="s">
        <v>66</v>
      </c>
      <c r="K4" s="15" t="s">
        <v>67</v>
      </c>
      <c r="L4" s="15" t="s">
        <v>68</v>
      </c>
      <c r="M4" s="15" t="s">
        <v>69</v>
      </c>
      <c r="N4" s="15" t="s">
        <v>70</v>
      </c>
      <c r="O4" s="17" t="s">
        <v>71</v>
      </c>
      <c r="P4" s="17" t="s">
        <v>72</v>
      </c>
      <c r="Q4" s="15" t="s">
        <v>73</v>
      </c>
      <c r="R4" s="15" t="s">
        <v>74</v>
      </c>
    </row>
    <row r="5" spans="1:18" x14ac:dyDescent="0.3">
      <c r="A5" s="21" t="s">
        <v>75</v>
      </c>
      <c r="B5" s="17">
        <v>8</v>
      </c>
      <c r="C5" s="17">
        <v>1</v>
      </c>
      <c r="D5" s="17">
        <v>0</v>
      </c>
      <c r="E5" s="15">
        <f>B5+C5-D5</f>
        <v>9</v>
      </c>
      <c r="F5" s="17">
        <v>2</v>
      </c>
      <c r="G5" s="17">
        <v>0</v>
      </c>
      <c r="H5" s="15">
        <f>E5+F5-G5</f>
        <v>11</v>
      </c>
      <c r="I5" s="17">
        <v>1</v>
      </c>
      <c r="J5" s="17">
        <v>1</v>
      </c>
      <c r="K5" s="15">
        <f>H5+I5-J5</f>
        <v>11</v>
      </c>
      <c r="L5" s="17">
        <v>1</v>
      </c>
      <c r="M5" s="17">
        <v>0</v>
      </c>
      <c r="N5" s="15">
        <f>K5+L5-M5</f>
        <v>12</v>
      </c>
      <c r="O5" s="18">
        <v>45000</v>
      </c>
      <c r="P5" s="18">
        <f>O5*0.25</f>
        <v>11250</v>
      </c>
      <c r="Q5" s="19">
        <f>O5+P5</f>
        <v>56250</v>
      </c>
      <c r="R5" s="19">
        <f>AVERAGE(B5,E5,H5,K5,N5)*Q5</f>
        <v>573750</v>
      </c>
    </row>
    <row r="6" spans="1:18" x14ac:dyDescent="0.3">
      <c r="A6" s="21" t="s">
        <v>76</v>
      </c>
      <c r="B6" s="17">
        <v>6</v>
      </c>
      <c r="C6" s="17">
        <v>1</v>
      </c>
      <c r="D6" s="17">
        <v>0</v>
      </c>
      <c r="E6" s="15">
        <f>B6+C6-D6</f>
        <v>7</v>
      </c>
      <c r="F6" s="17">
        <v>1</v>
      </c>
      <c r="G6" s="17">
        <v>0</v>
      </c>
      <c r="H6" s="15">
        <f>E6+F6-G6</f>
        <v>8</v>
      </c>
      <c r="I6" s="17">
        <v>0</v>
      </c>
      <c r="J6" s="17">
        <v>0</v>
      </c>
      <c r="K6" s="15">
        <f>H6+I6-J6</f>
        <v>8</v>
      </c>
      <c r="L6" s="17">
        <v>1</v>
      </c>
      <c r="M6" s="17">
        <v>0</v>
      </c>
      <c r="N6" s="15">
        <f>K6+L6-M6</f>
        <v>9</v>
      </c>
      <c r="O6" s="18">
        <v>42000</v>
      </c>
      <c r="P6" s="18">
        <f>O6*0.25</f>
        <v>10500</v>
      </c>
      <c r="Q6" s="19">
        <f>O6+P6</f>
        <v>52500</v>
      </c>
      <c r="R6" s="19">
        <f>AVERAGE(B6,E6,H6,K6,N6)*Q6</f>
        <v>399000</v>
      </c>
    </row>
    <row r="7" spans="1:18" x14ac:dyDescent="0.3">
      <c r="A7" s="21" t="s">
        <v>77</v>
      </c>
      <c r="B7" s="17">
        <v>18</v>
      </c>
      <c r="C7" s="17">
        <v>2</v>
      </c>
      <c r="D7" s="17">
        <v>0</v>
      </c>
      <c r="E7" s="15">
        <f>B7+C7-D7</f>
        <v>20</v>
      </c>
      <c r="F7" s="17">
        <v>2</v>
      </c>
      <c r="G7" s="17">
        <v>1</v>
      </c>
      <c r="H7" s="15">
        <f>E7+F7-G7</f>
        <v>21</v>
      </c>
      <c r="I7" s="17">
        <v>2</v>
      </c>
      <c r="J7" s="17">
        <v>0</v>
      </c>
      <c r="K7" s="15">
        <f>H7+I7-J7</f>
        <v>23</v>
      </c>
      <c r="L7" s="17">
        <v>1</v>
      </c>
      <c r="M7" s="17">
        <v>0</v>
      </c>
      <c r="N7" s="15">
        <f>K7+L7-M7</f>
        <v>24</v>
      </c>
      <c r="O7" s="18">
        <v>55000</v>
      </c>
      <c r="P7" s="18">
        <f>O7*0.25</f>
        <v>13750</v>
      </c>
      <c r="Q7" s="19">
        <f>O7+P7</f>
        <v>68750</v>
      </c>
      <c r="R7" s="19">
        <f>AVERAGE(B7,E7,H7,K7,N7)*Q7</f>
        <v>1457500</v>
      </c>
    </row>
    <row r="8" spans="1:18" x14ac:dyDescent="0.3">
      <c r="A8" s="21" t="s">
        <v>78</v>
      </c>
      <c r="B8" s="17">
        <v>7</v>
      </c>
      <c r="C8" s="17">
        <v>1</v>
      </c>
      <c r="D8" s="17">
        <v>0</v>
      </c>
      <c r="E8" s="15">
        <f>B8+C8-D8</f>
        <v>8</v>
      </c>
      <c r="F8" s="17">
        <v>1</v>
      </c>
      <c r="G8" s="17">
        <v>0</v>
      </c>
      <c r="H8" s="15">
        <f>E8+F8-G8</f>
        <v>9</v>
      </c>
      <c r="I8" s="17">
        <v>1</v>
      </c>
      <c r="J8" s="17">
        <v>0</v>
      </c>
      <c r="K8" s="15">
        <f>H8+I8-J8</f>
        <v>10</v>
      </c>
      <c r="L8" s="17">
        <v>0</v>
      </c>
      <c r="M8" s="17">
        <v>0</v>
      </c>
      <c r="N8" s="15">
        <f>K8+L8-M8</f>
        <v>10</v>
      </c>
      <c r="O8" s="18">
        <v>38000</v>
      </c>
      <c r="P8" s="18">
        <f>O8*0.25</f>
        <v>9500</v>
      </c>
      <c r="Q8" s="19">
        <f>O8+P8</f>
        <v>47500</v>
      </c>
      <c r="R8" s="19">
        <f>AVERAGE(B8,E8,H8,K8,N8)*Q8</f>
        <v>418000.00000000006</v>
      </c>
    </row>
    <row r="9" spans="1:18" x14ac:dyDescent="0.3">
      <c r="A9" s="21" t="s">
        <v>79</v>
      </c>
      <c r="B9" s="17">
        <v>6</v>
      </c>
      <c r="C9" s="17">
        <v>0</v>
      </c>
      <c r="D9" s="17">
        <v>0</v>
      </c>
      <c r="E9" s="15">
        <f>B9+C9-D9</f>
        <v>6</v>
      </c>
      <c r="F9" s="17">
        <v>1</v>
      </c>
      <c r="G9" s="17">
        <v>0</v>
      </c>
      <c r="H9" s="15">
        <f>E9+F9-G9</f>
        <v>7</v>
      </c>
      <c r="I9" s="17">
        <v>0</v>
      </c>
      <c r="J9" s="17">
        <v>0</v>
      </c>
      <c r="K9" s="15">
        <f>H9+I9-J9</f>
        <v>7</v>
      </c>
      <c r="L9" s="17">
        <v>1</v>
      </c>
      <c r="M9" s="17">
        <v>1</v>
      </c>
      <c r="N9" s="15">
        <f>K9+L9-M9</f>
        <v>7</v>
      </c>
      <c r="O9" s="18">
        <v>48000</v>
      </c>
      <c r="P9" s="18">
        <f>O9*0.25</f>
        <v>12000</v>
      </c>
      <c r="Q9" s="19">
        <f>O9+P9</f>
        <v>60000</v>
      </c>
      <c r="R9" s="19">
        <f>AVERAGE(B9,E9,H9,K9,N9)*Q9</f>
        <v>396000</v>
      </c>
    </row>
    <row r="10" spans="1:18" x14ac:dyDescent="0.3">
      <c r="A10" s="21" t="s">
        <v>80</v>
      </c>
      <c r="B10" s="15">
        <f t="shared" ref="B10:N10" si="0">SUM(B5:B9)</f>
        <v>45</v>
      </c>
      <c r="C10" s="15">
        <f t="shared" si="0"/>
        <v>5</v>
      </c>
      <c r="D10" s="15">
        <f t="shared" si="0"/>
        <v>0</v>
      </c>
      <c r="E10" s="15">
        <f t="shared" si="0"/>
        <v>50</v>
      </c>
      <c r="F10" s="15">
        <f t="shared" si="0"/>
        <v>7</v>
      </c>
      <c r="G10" s="15">
        <f t="shared" si="0"/>
        <v>1</v>
      </c>
      <c r="H10" s="15">
        <f t="shared" si="0"/>
        <v>56</v>
      </c>
      <c r="I10" s="15">
        <f t="shared" si="0"/>
        <v>4</v>
      </c>
      <c r="J10" s="15">
        <f t="shared" si="0"/>
        <v>1</v>
      </c>
      <c r="K10" s="15">
        <f t="shared" si="0"/>
        <v>59</v>
      </c>
      <c r="L10" s="15">
        <f t="shared" si="0"/>
        <v>4</v>
      </c>
      <c r="M10" s="15">
        <f t="shared" si="0"/>
        <v>1</v>
      </c>
      <c r="N10" s="12">
        <f t="shared" si="0"/>
        <v>62</v>
      </c>
      <c r="O10" s="13">
        <f>AVERAGE(O5:O9)</f>
        <v>45600</v>
      </c>
      <c r="P10" s="14">
        <f>AVERAGE(P5:P9)</f>
        <v>11400</v>
      </c>
      <c r="Q10" s="14">
        <f>AVERAGE(Q5:Q9)</f>
        <v>57000</v>
      </c>
      <c r="R10" s="14">
        <f>SUM(R5:R9)</f>
        <v>3244250</v>
      </c>
    </row>
    <row r="12" spans="1:18" x14ac:dyDescent="0.3">
      <c r="A12" s="2" t="s">
        <v>81</v>
      </c>
    </row>
    <row r="13" spans="1:18" x14ac:dyDescent="0.3">
      <c r="A13" s="2" t="s">
        <v>82</v>
      </c>
      <c r="B13" s="20" t="s">
        <v>83</v>
      </c>
      <c r="C13" s="20" t="s">
        <v>84</v>
      </c>
      <c r="D13" s="20" t="s">
        <v>85</v>
      </c>
      <c r="E13" s="20" t="s">
        <v>86</v>
      </c>
      <c r="F13" s="20" t="s">
        <v>87</v>
      </c>
    </row>
    <row r="14" spans="1:18" x14ac:dyDescent="0.3">
      <c r="A14" s="21" t="s">
        <v>88</v>
      </c>
      <c r="B14" s="15">
        <f>B10</f>
        <v>45</v>
      </c>
      <c r="C14" s="15">
        <f>E10</f>
        <v>50</v>
      </c>
      <c r="D14" s="15">
        <f>H10</f>
        <v>56</v>
      </c>
      <c r="E14" s="15">
        <f>K10</f>
        <v>59</v>
      </c>
      <c r="F14" s="15">
        <f>B10</f>
        <v>45</v>
      </c>
    </row>
    <row r="15" spans="1:18" x14ac:dyDescent="0.3">
      <c r="A15" s="21" t="s">
        <v>89</v>
      </c>
      <c r="B15" s="15">
        <f>C10</f>
        <v>5</v>
      </c>
      <c r="C15" s="15">
        <f>F10</f>
        <v>7</v>
      </c>
      <c r="D15" s="15">
        <f>I10</f>
        <v>4</v>
      </c>
      <c r="E15" s="15">
        <f>L10</f>
        <v>4</v>
      </c>
      <c r="F15" s="15">
        <f>SUM(B15:E15)</f>
        <v>20</v>
      </c>
    </row>
    <row r="16" spans="1:18" x14ac:dyDescent="0.3">
      <c r="A16" s="21" t="s">
        <v>90</v>
      </c>
      <c r="B16" s="15">
        <f>D10</f>
        <v>0</v>
      </c>
      <c r="C16" s="15">
        <f>G10</f>
        <v>1</v>
      </c>
      <c r="D16" s="15">
        <f>J10</f>
        <v>1</v>
      </c>
      <c r="E16" s="15">
        <f>M10</f>
        <v>1</v>
      </c>
      <c r="F16" s="15">
        <f>SUM(B16:E16)</f>
        <v>3</v>
      </c>
    </row>
    <row r="17" spans="1:6" x14ac:dyDescent="0.3">
      <c r="A17" s="21" t="s">
        <v>91</v>
      </c>
      <c r="B17" s="15">
        <f>E10</f>
        <v>50</v>
      </c>
      <c r="C17" s="15">
        <f>H10</f>
        <v>56</v>
      </c>
      <c r="D17" s="15">
        <f>K10</f>
        <v>59</v>
      </c>
      <c r="E17" s="15">
        <f>N10</f>
        <v>62</v>
      </c>
      <c r="F17" s="15">
        <f>N10</f>
        <v>62</v>
      </c>
    </row>
    <row r="18" spans="1:6" x14ac:dyDescent="0.3">
      <c r="A18" s="21" t="s">
        <v>92</v>
      </c>
      <c r="B18" s="24">
        <f>AVERAGE(B14,B17)</f>
        <v>47.5</v>
      </c>
      <c r="C18" s="24">
        <f>AVERAGE(C14,C17)</f>
        <v>53</v>
      </c>
      <c r="D18" s="24">
        <f>AVERAGE(D14,D17)</f>
        <v>57.5</v>
      </c>
      <c r="E18" s="24">
        <f>AVERAGE(E14,E17)</f>
        <v>60.5</v>
      </c>
      <c r="F18" s="24">
        <f>AVERAGE(B18:E18)</f>
        <v>54.625</v>
      </c>
    </row>
    <row r="20" spans="1:6" x14ac:dyDescent="0.3">
      <c r="A20" s="2" t="s">
        <v>93</v>
      </c>
    </row>
    <row r="21" spans="1:6" x14ac:dyDescent="0.3">
      <c r="A21" s="2" t="s">
        <v>57</v>
      </c>
      <c r="B21" s="20" t="s">
        <v>94</v>
      </c>
      <c r="C21" s="20" t="s">
        <v>95</v>
      </c>
      <c r="D21" s="20" t="s">
        <v>96</v>
      </c>
      <c r="E21" s="20" t="s">
        <v>97</v>
      </c>
      <c r="F21" s="20" t="s">
        <v>98</v>
      </c>
    </row>
    <row r="22" spans="1:6" x14ac:dyDescent="0.3">
      <c r="A22" s="21" t="s">
        <v>75</v>
      </c>
      <c r="B22" s="39">
        <f>AVERAGE(B5,E5)*$Q$5/4</f>
        <v>119531.25</v>
      </c>
      <c r="C22" s="39">
        <f>AVERAGE(E5,H5)*$Q$5/4</f>
        <v>140625</v>
      </c>
      <c r="D22" s="39">
        <f>AVERAGE(H5,K5)*$Q$5/4</f>
        <v>154687.5</v>
      </c>
      <c r="E22" s="39">
        <f>AVERAGE(K5,N5)*$Q$5/4</f>
        <v>161718.75</v>
      </c>
      <c r="F22" s="39">
        <f>SUM(B22:E22)</f>
        <v>576562.5</v>
      </c>
    </row>
    <row r="23" spans="1:6" x14ac:dyDescent="0.3">
      <c r="A23" s="21" t="s">
        <v>76</v>
      </c>
      <c r="B23" s="39">
        <f>AVERAGE(B6,E6)*$Q$6/4</f>
        <v>85312.5</v>
      </c>
      <c r="C23" s="39">
        <f>AVERAGE(E6,H6)*$Q$6/4</f>
        <v>98437.5</v>
      </c>
      <c r="D23" s="39">
        <f>AVERAGE(H6,K6)*$Q$6/4</f>
        <v>105000</v>
      </c>
      <c r="E23" s="39">
        <f>AVERAGE(K6,N6)*$Q$6/4</f>
        <v>111562.5</v>
      </c>
      <c r="F23" s="39">
        <f>SUM(B23:E23)</f>
        <v>400312.5</v>
      </c>
    </row>
    <row r="24" spans="1:6" x14ac:dyDescent="0.3">
      <c r="A24" s="21" t="s">
        <v>77</v>
      </c>
      <c r="B24" s="39">
        <f>AVERAGE(B7,E7)*$Q$7/4</f>
        <v>326562.5</v>
      </c>
      <c r="C24" s="39">
        <f>AVERAGE(E7,H7)*$Q$7/4</f>
        <v>352343.75</v>
      </c>
      <c r="D24" s="39">
        <f>AVERAGE(H7,K7)*$Q$7/4</f>
        <v>378125</v>
      </c>
      <c r="E24" s="39">
        <f>AVERAGE(K7,N7)*$Q$7/4</f>
        <v>403906.25</v>
      </c>
      <c r="F24" s="39">
        <f>SUM(B24:E24)</f>
        <v>1460937.5</v>
      </c>
    </row>
    <row r="25" spans="1:6" x14ac:dyDescent="0.3">
      <c r="A25" s="21" t="s">
        <v>78</v>
      </c>
      <c r="B25" s="39">
        <f>AVERAGE(B8,E8)*$Q$8/4</f>
        <v>89062.5</v>
      </c>
      <c r="C25" s="39">
        <f>AVERAGE(E8,H8)*$Q$8/4</f>
        <v>100937.5</v>
      </c>
      <c r="D25" s="39">
        <f>AVERAGE(H8,K8)*$Q$8/4</f>
        <v>112812.5</v>
      </c>
      <c r="E25" s="39">
        <f>AVERAGE(K8,N8)*$Q$8/4</f>
        <v>118750</v>
      </c>
      <c r="F25" s="39">
        <f>SUM(B25:E25)</f>
        <v>421562.5</v>
      </c>
    </row>
    <row r="26" spans="1:6" x14ac:dyDescent="0.3">
      <c r="A26" s="21" t="s">
        <v>79</v>
      </c>
      <c r="B26" s="39">
        <f>AVERAGE(B9,E9)*$Q$9/4</f>
        <v>90000</v>
      </c>
      <c r="C26" s="39">
        <f>AVERAGE(E9,H9)*$Q$9/4</f>
        <v>97500</v>
      </c>
      <c r="D26" s="39">
        <f>AVERAGE(H9,K9)*$Q$9/4</f>
        <v>105000</v>
      </c>
      <c r="E26" s="39">
        <f>AVERAGE(K9,N9)*$Q$9/4</f>
        <v>105000</v>
      </c>
      <c r="F26" s="39">
        <f>SUM(B26:E26)</f>
        <v>397500</v>
      </c>
    </row>
    <row r="27" spans="1:6" x14ac:dyDescent="0.3">
      <c r="A27" s="21" t="s">
        <v>99</v>
      </c>
      <c r="B27" s="39">
        <f>SUM(B22:B26)</f>
        <v>710468.75</v>
      </c>
      <c r="C27" s="39">
        <f>SUM(C22:C26)</f>
        <v>789843.75</v>
      </c>
      <c r="D27" s="39">
        <f>SUM(D22:D26)</f>
        <v>855625</v>
      </c>
      <c r="E27" s="39">
        <f>SUM(E22:E26)</f>
        <v>900937.5</v>
      </c>
      <c r="F27" s="39">
        <f>SUM(F22:F26)</f>
        <v>3256875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CD8-1FFF-194C-AF22-C8EE6A073D64}">
  <dimension ref="A1:O27"/>
  <sheetViews>
    <sheetView workbookViewId="0">
      <pane ySplit="3" topLeftCell="A13" activePane="bottomLeft" state="frozen"/>
      <selection pane="bottomLeft"/>
    </sheetView>
  </sheetViews>
  <sheetFormatPr baseColWidth="10" defaultRowHeight="15.6" x14ac:dyDescent="0.3"/>
  <cols>
    <col min="1" max="1" width="25" style="2" customWidth="1"/>
    <col min="2" max="15" width="14.19921875" style="2" customWidth="1"/>
    <col min="16" max="16384" width="11.19921875" style="2"/>
  </cols>
  <sheetData>
    <row r="1" spans="1:15" ht="21" x14ac:dyDescent="0.4">
      <c r="A1" s="11" t="s">
        <v>100</v>
      </c>
    </row>
    <row r="2" spans="1:15" x14ac:dyDescent="0.3">
      <c r="A2" s="25"/>
    </row>
    <row r="4" spans="1:15" x14ac:dyDescent="0.3">
      <c r="A4" s="4" t="s">
        <v>101</v>
      </c>
    </row>
    <row r="5" spans="1:15" x14ac:dyDescent="0.3">
      <c r="A5" s="10" t="s">
        <v>82</v>
      </c>
      <c r="B5" s="27" t="s">
        <v>102</v>
      </c>
      <c r="C5" s="111" t="s">
        <v>103</v>
      </c>
      <c r="D5" s="112"/>
    </row>
    <row r="6" spans="1:15" x14ac:dyDescent="0.3">
      <c r="A6" s="21" t="s">
        <v>104</v>
      </c>
      <c r="B6" s="38">
        <v>150000</v>
      </c>
      <c r="C6" s="29" t="s">
        <v>105</v>
      </c>
      <c r="D6" s="29"/>
    </row>
    <row r="7" spans="1:15" x14ac:dyDescent="0.3">
      <c r="A7" s="21" t="s">
        <v>106</v>
      </c>
      <c r="B7" s="30">
        <v>0.04</v>
      </c>
      <c r="C7" s="29" t="s">
        <v>107</v>
      </c>
      <c r="D7" s="29"/>
    </row>
    <row r="8" spans="1:15" x14ac:dyDescent="0.3">
      <c r="A8" s="21" t="s">
        <v>108</v>
      </c>
      <c r="B8" s="30">
        <v>0.03</v>
      </c>
      <c r="C8" s="29" t="s">
        <v>109</v>
      </c>
      <c r="D8" s="29"/>
    </row>
    <row r="9" spans="1:15" x14ac:dyDescent="0.3">
      <c r="A9" s="21" t="s">
        <v>110</v>
      </c>
      <c r="B9" s="38">
        <v>12000</v>
      </c>
      <c r="C9" s="29" t="s">
        <v>111</v>
      </c>
      <c r="D9" s="29"/>
    </row>
    <row r="11" spans="1:15" x14ac:dyDescent="0.3">
      <c r="A11" s="4" t="s">
        <v>112</v>
      </c>
    </row>
    <row r="12" spans="1:15" x14ac:dyDescent="0.3">
      <c r="A12" s="10" t="s">
        <v>82</v>
      </c>
      <c r="B12" s="27" t="s">
        <v>1</v>
      </c>
      <c r="C12" s="27" t="s">
        <v>2</v>
      </c>
      <c r="D12" s="27" t="s">
        <v>3</v>
      </c>
      <c r="E12" s="27" t="s">
        <v>4</v>
      </c>
      <c r="F12" s="27" t="s">
        <v>5</v>
      </c>
      <c r="G12" s="27" t="s">
        <v>6</v>
      </c>
      <c r="H12" s="27" t="s">
        <v>7</v>
      </c>
      <c r="I12" s="27" t="s">
        <v>8</v>
      </c>
      <c r="J12" s="27" t="s">
        <v>9</v>
      </c>
      <c r="K12" s="27" t="s">
        <v>10</v>
      </c>
      <c r="L12" s="27" t="s">
        <v>11</v>
      </c>
      <c r="M12" s="27" t="s">
        <v>12</v>
      </c>
      <c r="N12" s="27" t="s">
        <v>113</v>
      </c>
      <c r="O12" s="27" t="s">
        <v>114</v>
      </c>
    </row>
    <row r="13" spans="1:15" x14ac:dyDescent="0.3">
      <c r="A13" s="28" t="s">
        <v>115</v>
      </c>
      <c r="B13" s="33">
        <f>$B$6</f>
        <v>150000</v>
      </c>
      <c r="C13" s="33">
        <f t="shared" ref="C13:M13" si="0">B18</f>
        <v>158500</v>
      </c>
      <c r="D13" s="33">
        <f t="shared" si="0"/>
        <v>168415</v>
      </c>
      <c r="E13" s="33">
        <f t="shared" si="0"/>
        <v>179730.85</v>
      </c>
      <c r="F13" s="33">
        <f t="shared" si="0"/>
        <v>189933.54149999999</v>
      </c>
      <c r="G13" s="33">
        <f t="shared" si="0"/>
        <v>202034.20608499998</v>
      </c>
      <c r="H13" s="33">
        <f t="shared" si="0"/>
        <v>211013.86402414998</v>
      </c>
      <c r="I13" s="33">
        <f t="shared" si="0"/>
        <v>217903.72538390849</v>
      </c>
      <c r="J13" s="33">
        <f t="shared" si="0"/>
        <v>228224.68813006941</v>
      </c>
      <c r="K13" s="33">
        <f t="shared" si="0"/>
        <v>240942.44124876871</v>
      </c>
      <c r="L13" s="33">
        <f t="shared" si="0"/>
        <v>253033.01683628102</v>
      </c>
      <c r="M13" s="33">
        <f t="shared" si="0"/>
        <v>264002.68666791823</v>
      </c>
      <c r="N13" s="34"/>
      <c r="O13" s="34"/>
    </row>
    <row r="14" spans="1:15" x14ac:dyDescent="0.3">
      <c r="A14" s="21" t="s">
        <v>116</v>
      </c>
      <c r="B14" s="35">
        <v>10000</v>
      </c>
      <c r="C14" s="35">
        <v>11500</v>
      </c>
      <c r="D14" s="35">
        <v>13000</v>
      </c>
      <c r="E14" s="35">
        <v>12000</v>
      </c>
      <c r="F14" s="35">
        <v>14000</v>
      </c>
      <c r="G14" s="35">
        <v>11000</v>
      </c>
      <c r="H14" s="35">
        <v>9000</v>
      </c>
      <c r="I14" s="35">
        <v>12500</v>
      </c>
      <c r="J14" s="35">
        <v>15000</v>
      </c>
      <c r="K14" s="35">
        <v>14500</v>
      </c>
      <c r="L14" s="35">
        <v>13500</v>
      </c>
      <c r="M14" s="35">
        <v>11000</v>
      </c>
      <c r="N14" s="36">
        <f>SUM(B14:M14)</f>
        <v>147000</v>
      </c>
      <c r="O14" s="34"/>
    </row>
    <row r="15" spans="1:15" x14ac:dyDescent="0.3">
      <c r="A15" s="21" t="s">
        <v>117</v>
      </c>
      <c r="B15" s="33">
        <f t="shared" ref="B15:M15" si="1">B13*$B$8</f>
        <v>4500</v>
      </c>
      <c r="C15" s="33">
        <f t="shared" si="1"/>
        <v>4755</v>
      </c>
      <c r="D15" s="33">
        <f t="shared" si="1"/>
        <v>5052.45</v>
      </c>
      <c r="E15" s="33">
        <f t="shared" si="1"/>
        <v>5391.9255000000003</v>
      </c>
      <c r="F15" s="33">
        <f t="shared" si="1"/>
        <v>5698.0062449999996</v>
      </c>
      <c r="G15" s="33">
        <f t="shared" si="1"/>
        <v>6061.0261825499992</v>
      </c>
      <c r="H15" s="33">
        <f t="shared" si="1"/>
        <v>6330.4159207244993</v>
      </c>
      <c r="I15" s="33">
        <f t="shared" si="1"/>
        <v>6537.1117615172543</v>
      </c>
      <c r="J15" s="33">
        <f t="shared" si="1"/>
        <v>6846.7406439020824</v>
      </c>
      <c r="K15" s="33">
        <f t="shared" si="1"/>
        <v>7228.2732374630614</v>
      </c>
      <c r="L15" s="33">
        <f t="shared" si="1"/>
        <v>7590.9905050884299</v>
      </c>
      <c r="M15" s="33">
        <f t="shared" si="1"/>
        <v>7920.0806000375469</v>
      </c>
      <c r="N15" s="36">
        <f>SUM(B15:M15)</f>
        <v>73912.020596282877</v>
      </c>
      <c r="O15" s="34"/>
    </row>
    <row r="16" spans="1:15" x14ac:dyDescent="0.3">
      <c r="A16" s="21" t="s">
        <v>118</v>
      </c>
      <c r="B16" s="33">
        <f>-B13*$B$7</f>
        <v>-6000</v>
      </c>
      <c r="C16" s="33">
        <f t="shared" ref="C16:M16" si="2">-C13*$B$7</f>
        <v>-6340</v>
      </c>
      <c r="D16" s="33">
        <f t="shared" si="2"/>
        <v>-6736.6</v>
      </c>
      <c r="E16" s="33">
        <f t="shared" si="2"/>
        <v>-7189.2340000000004</v>
      </c>
      <c r="F16" s="33">
        <f t="shared" si="2"/>
        <v>-7597.34166</v>
      </c>
      <c r="G16" s="33">
        <f t="shared" si="2"/>
        <v>-8081.3682433999993</v>
      </c>
      <c r="H16" s="33">
        <f t="shared" si="2"/>
        <v>-8440.5545609660003</v>
      </c>
      <c r="I16" s="33">
        <f t="shared" si="2"/>
        <v>-8716.1490153563391</v>
      </c>
      <c r="J16" s="33">
        <f t="shared" si="2"/>
        <v>-9128.9875252027759</v>
      </c>
      <c r="K16" s="33">
        <f t="shared" si="2"/>
        <v>-9637.6976499507491</v>
      </c>
      <c r="L16" s="33">
        <f t="shared" si="2"/>
        <v>-10121.320673451241</v>
      </c>
      <c r="M16" s="33">
        <f t="shared" si="2"/>
        <v>-10560.107466716729</v>
      </c>
      <c r="N16" s="36">
        <f>SUM(B16:M16)</f>
        <v>-98549.360795043816</v>
      </c>
      <c r="O16" s="34"/>
    </row>
    <row r="17" spans="1:15" x14ac:dyDescent="0.3">
      <c r="A17" s="31" t="s">
        <v>119</v>
      </c>
      <c r="B17" s="33">
        <f t="shared" ref="B17:M17" si="3">B14+B15+B16</f>
        <v>8500</v>
      </c>
      <c r="C17" s="33">
        <f t="shared" si="3"/>
        <v>9915</v>
      </c>
      <c r="D17" s="33">
        <f t="shared" si="3"/>
        <v>11315.85</v>
      </c>
      <c r="E17" s="33">
        <f t="shared" si="3"/>
        <v>10202.691500000001</v>
      </c>
      <c r="F17" s="33">
        <f t="shared" si="3"/>
        <v>12100.664585</v>
      </c>
      <c r="G17" s="33">
        <f t="shared" si="3"/>
        <v>8979.6579391499981</v>
      </c>
      <c r="H17" s="33">
        <f t="shared" si="3"/>
        <v>6889.861359758499</v>
      </c>
      <c r="I17" s="33">
        <f t="shared" si="3"/>
        <v>10320.962746160916</v>
      </c>
      <c r="J17" s="33">
        <f t="shared" si="3"/>
        <v>12717.753118699306</v>
      </c>
      <c r="K17" s="33">
        <f t="shared" si="3"/>
        <v>12090.575587512312</v>
      </c>
      <c r="L17" s="33">
        <f t="shared" si="3"/>
        <v>10969.669831637189</v>
      </c>
      <c r="M17" s="33">
        <f t="shared" si="3"/>
        <v>8359.9731333208165</v>
      </c>
      <c r="N17" s="36">
        <f>SUM(B17:M17)</f>
        <v>122362.65980123903</v>
      </c>
      <c r="O17" s="34"/>
    </row>
    <row r="18" spans="1:15" x14ac:dyDescent="0.3">
      <c r="A18" s="28" t="s">
        <v>120</v>
      </c>
      <c r="B18" s="36">
        <f t="shared" ref="B18:M18" si="4">B13+B17</f>
        <v>158500</v>
      </c>
      <c r="C18" s="36">
        <f t="shared" si="4"/>
        <v>168415</v>
      </c>
      <c r="D18" s="36">
        <f t="shared" si="4"/>
        <v>179730.85</v>
      </c>
      <c r="E18" s="36">
        <f t="shared" si="4"/>
        <v>189933.54149999999</v>
      </c>
      <c r="F18" s="36">
        <f t="shared" si="4"/>
        <v>202034.20608499998</v>
      </c>
      <c r="G18" s="36">
        <f t="shared" si="4"/>
        <v>211013.86402414998</v>
      </c>
      <c r="H18" s="36">
        <f t="shared" si="4"/>
        <v>217903.72538390849</v>
      </c>
      <c r="I18" s="36">
        <f t="shared" si="4"/>
        <v>228224.68813006941</v>
      </c>
      <c r="J18" s="36">
        <f t="shared" si="4"/>
        <v>240942.44124876871</v>
      </c>
      <c r="K18" s="36">
        <f t="shared" si="4"/>
        <v>253033.01683628102</v>
      </c>
      <c r="L18" s="36">
        <f t="shared" si="4"/>
        <v>264002.68666791823</v>
      </c>
      <c r="M18" s="36">
        <f t="shared" si="4"/>
        <v>272362.65980123903</v>
      </c>
      <c r="N18" s="36">
        <f>M18</f>
        <v>272362.65980123903</v>
      </c>
      <c r="O18" s="37">
        <f>M18*12</f>
        <v>3268351.9176148684</v>
      </c>
    </row>
    <row r="19" spans="1:15" x14ac:dyDescent="0.3">
      <c r="A19" s="31" t="s">
        <v>121</v>
      </c>
      <c r="B19" s="15" t="s">
        <v>122</v>
      </c>
      <c r="C19" s="32">
        <f t="shared" ref="C19:M19" si="5">(C18-B18)/B18</f>
        <v>6.255520504731861E-2</v>
      </c>
      <c r="D19" s="32">
        <f t="shared" si="5"/>
        <v>6.7190274025472826E-2</v>
      </c>
      <c r="E19" s="32">
        <f t="shared" si="5"/>
        <v>5.6766501132109404E-2</v>
      </c>
      <c r="F19" s="32">
        <f t="shared" si="5"/>
        <v>6.3709992924024905E-2</v>
      </c>
      <c r="G19" s="32">
        <f t="shared" si="5"/>
        <v>4.444622578105447E-2</v>
      </c>
      <c r="H19" s="32">
        <f t="shared" si="5"/>
        <v>3.2651225982810207E-2</v>
      </c>
      <c r="I19" s="32">
        <f t="shared" si="5"/>
        <v>4.7364783360069579E-2</v>
      </c>
      <c r="J19" s="32">
        <f t="shared" si="5"/>
        <v>5.5724703680835881E-2</v>
      </c>
      <c r="K19" s="32">
        <f t="shared" si="5"/>
        <v>5.018034815638401E-2</v>
      </c>
      <c r="L19" s="32">
        <f t="shared" si="5"/>
        <v>4.3352721193435674E-2</v>
      </c>
      <c r="M19" s="32">
        <f t="shared" si="5"/>
        <v>3.1666242638797783E-2</v>
      </c>
      <c r="N19" s="5">
        <f>(M18-B13)/B13</f>
        <v>0.81575106534159358</v>
      </c>
      <c r="O19" s="21"/>
    </row>
    <row r="21" spans="1:15" x14ac:dyDescent="0.3">
      <c r="A21" s="4" t="s">
        <v>123</v>
      </c>
    </row>
    <row r="22" spans="1:15" x14ac:dyDescent="0.3">
      <c r="A22" s="10" t="s">
        <v>124</v>
      </c>
      <c r="B22" s="27" t="s">
        <v>1</v>
      </c>
      <c r="C22" s="27" t="s">
        <v>2</v>
      </c>
      <c r="D22" s="27" t="s">
        <v>3</v>
      </c>
      <c r="E22" s="27" t="s">
        <v>4</v>
      </c>
      <c r="F22" s="27" t="s">
        <v>5</v>
      </c>
      <c r="G22" s="27" t="s">
        <v>6</v>
      </c>
      <c r="H22" s="27" t="s">
        <v>7</v>
      </c>
      <c r="I22" s="27" t="s">
        <v>8</v>
      </c>
      <c r="J22" s="27" t="s">
        <v>9</v>
      </c>
      <c r="K22" s="27" t="s">
        <v>10</v>
      </c>
      <c r="L22" s="27" t="s">
        <v>11</v>
      </c>
      <c r="M22" s="27" t="s">
        <v>12</v>
      </c>
      <c r="N22" s="27" t="s">
        <v>125</v>
      </c>
      <c r="O22" s="27" t="s">
        <v>126</v>
      </c>
    </row>
    <row r="23" spans="1:15" x14ac:dyDescent="0.3">
      <c r="A23" s="21" t="s">
        <v>127</v>
      </c>
      <c r="B23" s="39">
        <f t="shared" ref="B23:M23" si="6">B18</f>
        <v>158500</v>
      </c>
      <c r="C23" s="39">
        <f t="shared" si="6"/>
        <v>168415</v>
      </c>
      <c r="D23" s="39">
        <f t="shared" si="6"/>
        <v>179730.85</v>
      </c>
      <c r="E23" s="39">
        <f t="shared" si="6"/>
        <v>189933.54149999999</v>
      </c>
      <c r="F23" s="39">
        <f t="shared" si="6"/>
        <v>202034.20608499998</v>
      </c>
      <c r="G23" s="39">
        <f t="shared" si="6"/>
        <v>211013.86402414998</v>
      </c>
      <c r="H23" s="39">
        <f t="shared" si="6"/>
        <v>217903.72538390849</v>
      </c>
      <c r="I23" s="39">
        <f t="shared" si="6"/>
        <v>228224.68813006941</v>
      </c>
      <c r="J23" s="39">
        <f t="shared" si="6"/>
        <v>240942.44124876871</v>
      </c>
      <c r="K23" s="39">
        <f t="shared" si="6"/>
        <v>253033.01683628102</v>
      </c>
      <c r="L23" s="39">
        <f t="shared" si="6"/>
        <v>264002.68666791823</v>
      </c>
      <c r="M23" s="39">
        <f t="shared" si="6"/>
        <v>272362.65980123903</v>
      </c>
      <c r="N23" s="40">
        <f>SUM(B23:M23)</f>
        <v>2586096.6796773346</v>
      </c>
      <c r="O23" s="32">
        <f>N23/N26</f>
        <v>0.84954485740953978</v>
      </c>
    </row>
    <row r="24" spans="1:15" x14ac:dyDescent="0.3">
      <c r="A24" s="21" t="s">
        <v>128</v>
      </c>
      <c r="B24" s="42">
        <v>28000</v>
      </c>
      <c r="C24" s="42">
        <v>31000</v>
      </c>
      <c r="D24" s="42">
        <v>35000</v>
      </c>
      <c r="E24" s="42">
        <v>29000</v>
      </c>
      <c r="F24" s="42">
        <v>33000</v>
      </c>
      <c r="G24" s="42">
        <v>32000</v>
      </c>
      <c r="H24" s="42">
        <v>27000</v>
      </c>
      <c r="I24" s="42">
        <v>30000</v>
      </c>
      <c r="J24" s="42">
        <v>34000</v>
      </c>
      <c r="K24" s="42">
        <v>32000</v>
      </c>
      <c r="L24" s="42">
        <v>31000</v>
      </c>
      <c r="M24" s="42">
        <v>26000</v>
      </c>
      <c r="N24" s="40">
        <f>SUM(B24:M24)</f>
        <v>368000</v>
      </c>
      <c r="O24" s="32">
        <f>N24/N26</f>
        <v>0.12088972155740038</v>
      </c>
    </row>
    <row r="25" spans="1:15" x14ac:dyDescent="0.3">
      <c r="A25" s="21" t="s">
        <v>129</v>
      </c>
      <c r="B25" s="42">
        <v>5000</v>
      </c>
      <c r="C25" s="42">
        <v>7500</v>
      </c>
      <c r="D25" s="42">
        <v>8000</v>
      </c>
      <c r="E25" s="42">
        <v>6000</v>
      </c>
      <c r="F25" s="42">
        <v>9500</v>
      </c>
      <c r="G25" s="42">
        <v>7000</v>
      </c>
      <c r="H25" s="42">
        <v>5500</v>
      </c>
      <c r="I25" s="42">
        <v>8500</v>
      </c>
      <c r="J25" s="42">
        <v>10000</v>
      </c>
      <c r="K25" s="42">
        <v>9000</v>
      </c>
      <c r="L25" s="42">
        <v>7500</v>
      </c>
      <c r="M25" s="42">
        <v>6500</v>
      </c>
      <c r="N25" s="40">
        <f>SUM(B25:M25)</f>
        <v>90000</v>
      </c>
      <c r="O25" s="32">
        <f>N25/N26</f>
        <v>2.9565421033059876E-2</v>
      </c>
    </row>
    <row r="26" spans="1:15" x14ac:dyDescent="0.3">
      <c r="A26" s="28" t="s">
        <v>32</v>
      </c>
      <c r="B26" s="40">
        <f t="shared" ref="B26:N26" si="7">SUM(B23:B25)</f>
        <v>191500</v>
      </c>
      <c r="C26" s="40">
        <f t="shared" si="7"/>
        <v>206915</v>
      </c>
      <c r="D26" s="40">
        <f t="shared" si="7"/>
        <v>222730.85</v>
      </c>
      <c r="E26" s="40">
        <f t="shared" si="7"/>
        <v>224933.54149999999</v>
      </c>
      <c r="F26" s="40">
        <f t="shared" si="7"/>
        <v>244534.20608499998</v>
      </c>
      <c r="G26" s="40">
        <f t="shared" si="7"/>
        <v>250013.86402414998</v>
      </c>
      <c r="H26" s="40">
        <f t="shared" si="7"/>
        <v>250403.72538390849</v>
      </c>
      <c r="I26" s="40">
        <f t="shared" si="7"/>
        <v>266724.68813006941</v>
      </c>
      <c r="J26" s="40">
        <f t="shared" si="7"/>
        <v>284942.44124876871</v>
      </c>
      <c r="K26" s="40">
        <f t="shared" si="7"/>
        <v>294033.01683628105</v>
      </c>
      <c r="L26" s="40">
        <f t="shared" si="7"/>
        <v>302502.68666791823</v>
      </c>
      <c r="M26" s="40">
        <f t="shared" si="7"/>
        <v>304862.65980123903</v>
      </c>
      <c r="N26" s="40">
        <f t="shared" si="7"/>
        <v>3044096.6796773346</v>
      </c>
      <c r="O26" s="5">
        <f>N26/N26</f>
        <v>1</v>
      </c>
    </row>
    <row r="27" spans="1:15" x14ac:dyDescent="0.3">
      <c r="A27" s="31" t="s">
        <v>130</v>
      </c>
      <c r="B27" s="15" t="s">
        <v>122</v>
      </c>
      <c r="C27" s="32">
        <f t="shared" ref="C27:M27" si="8">(C26-B26)/B26</f>
        <v>8.0496083550913838E-2</v>
      </c>
      <c r="D27" s="32">
        <f t="shared" si="8"/>
        <v>7.6436459415702124E-2</v>
      </c>
      <c r="E27" s="32">
        <f t="shared" si="8"/>
        <v>9.8894764690207315E-3</v>
      </c>
      <c r="F27" s="32">
        <f t="shared" si="8"/>
        <v>8.7139803402775273E-2</v>
      </c>
      <c r="G27" s="32">
        <f t="shared" si="8"/>
        <v>2.2408553906954315E-2</v>
      </c>
      <c r="H27" s="32">
        <f t="shared" si="8"/>
        <v>1.5593589630727351E-3</v>
      </c>
      <c r="I27" s="32">
        <f t="shared" si="8"/>
        <v>6.5178593973145987E-2</v>
      </c>
      <c r="J27" s="32">
        <f t="shared" si="8"/>
        <v>6.8301713075076639E-2</v>
      </c>
      <c r="K27" s="32">
        <f t="shared" si="8"/>
        <v>3.1903199634538915E-2</v>
      </c>
      <c r="L27" s="32">
        <f t="shared" si="8"/>
        <v>2.8805165905409623E-2</v>
      </c>
      <c r="M27" s="32">
        <f t="shared" si="8"/>
        <v>7.8014947877522089E-3</v>
      </c>
      <c r="N27" s="5">
        <f>(M26-B26)/B26</f>
        <v>0.59197211384459025</v>
      </c>
      <c r="O27" s="21"/>
    </row>
  </sheetData>
  <mergeCells count="1"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6A50-699F-D148-9347-264719CC3037}">
  <dimension ref="A1:P23"/>
  <sheetViews>
    <sheetView workbookViewId="0">
      <pane ySplit="4" topLeftCell="A5" activePane="bottomLeft" state="frozen"/>
      <selection pane="bottomLeft"/>
    </sheetView>
  </sheetViews>
  <sheetFormatPr baseColWidth="10" defaultRowHeight="15.6" x14ac:dyDescent="0.3"/>
  <cols>
    <col min="1" max="1" width="26.69921875" style="2" customWidth="1"/>
    <col min="2" max="16" width="13.296875" style="2" customWidth="1"/>
    <col min="17" max="16384" width="11.19921875" style="2"/>
  </cols>
  <sheetData>
    <row r="1" spans="1:16" ht="21" x14ac:dyDescent="0.4">
      <c r="A1" s="11" t="s">
        <v>131</v>
      </c>
    </row>
    <row r="2" spans="1:16" x14ac:dyDescent="0.3">
      <c r="A2" s="25"/>
    </row>
    <row r="4" spans="1:16" x14ac:dyDescent="0.3">
      <c r="A4" s="26" t="s">
        <v>0</v>
      </c>
      <c r="B4" s="41">
        <v>46077</v>
      </c>
      <c r="C4" s="41">
        <v>46105</v>
      </c>
      <c r="D4" s="41">
        <v>46136</v>
      </c>
      <c r="E4" s="41">
        <v>46166</v>
      </c>
      <c r="F4" s="41">
        <v>46197</v>
      </c>
      <c r="G4" s="41">
        <v>46227</v>
      </c>
      <c r="H4" s="41">
        <v>46258</v>
      </c>
      <c r="I4" s="41">
        <v>46289</v>
      </c>
      <c r="J4" s="41">
        <v>46319</v>
      </c>
      <c r="K4" s="41">
        <v>46350</v>
      </c>
      <c r="L4" s="41">
        <v>46380</v>
      </c>
      <c r="M4" s="41">
        <v>46047</v>
      </c>
      <c r="N4" s="27" t="s">
        <v>132</v>
      </c>
      <c r="O4" s="27" t="s">
        <v>21</v>
      </c>
      <c r="P4" s="27" t="s">
        <v>133</v>
      </c>
    </row>
    <row r="5" spans="1:16" x14ac:dyDescent="0.3">
      <c r="A5" s="10" t="s">
        <v>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x14ac:dyDescent="0.3">
      <c r="A6" s="21" t="s">
        <v>127</v>
      </c>
      <c r="B6" s="39">
        <f>'3. Revenue Forecast'!C23*1.05</f>
        <v>176835.75</v>
      </c>
      <c r="C6" s="39">
        <f>'3. Revenue Forecast'!D23*1.05</f>
        <v>188717.39250000002</v>
      </c>
      <c r="D6" s="39">
        <f>'3. Revenue Forecast'!E23*1.05</f>
        <v>199430.21857500001</v>
      </c>
      <c r="E6" s="39">
        <f>'3. Revenue Forecast'!F23*1.05</f>
        <v>212135.91638924999</v>
      </c>
      <c r="F6" s="39">
        <f>'3. Revenue Forecast'!G23*1.05</f>
        <v>221564.55722535748</v>
      </c>
      <c r="G6" s="39">
        <f>'3. Revenue Forecast'!H23*1.05</f>
        <v>228798.91165310392</v>
      </c>
      <c r="H6" s="39">
        <f>'3. Revenue Forecast'!I23*1.05</f>
        <v>239635.92253657288</v>
      </c>
      <c r="I6" s="39">
        <f>'3. Revenue Forecast'!J23*1.05</f>
        <v>252989.56331120717</v>
      </c>
      <c r="J6" s="39">
        <f>'3. Revenue Forecast'!K23*1.05</f>
        <v>265684.66767809511</v>
      </c>
      <c r="K6" s="39">
        <f>'3. Revenue Forecast'!L23*1.05</f>
        <v>277202.82100131415</v>
      </c>
      <c r="L6" s="39">
        <f>'3. Revenue Forecast'!M23*1.05</f>
        <v>285980.79279130098</v>
      </c>
      <c r="M6" s="39">
        <f>L6*1.04</f>
        <v>297420.02450295305</v>
      </c>
      <c r="N6" s="40">
        <f>SUM(B6:M6)</f>
        <v>2846396.5381641546</v>
      </c>
      <c r="O6" s="42">
        <v>1966000</v>
      </c>
      <c r="P6" s="32">
        <f>(N6-O6)/O6</f>
        <v>0.44781105705196067</v>
      </c>
    </row>
    <row r="7" spans="1:16" x14ac:dyDescent="0.3">
      <c r="A7" s="21" t="s">
        <v>128</v>
      </c>
      <c r="B7" s="39">
        <f>'3. Revenue Forecast'!C24*1.05</f>
        <v>32550</v>
      </c>
      <c r="C7" s="39">
        <f>'3. Revenue Forecast'!D24*1.05</f>
        <v>36750</v>
      </c>
      <c r="D7" s="39">
        <f>'3. Revenue Forecast'!E24*1.05</f>
        <v>30450</v>
      </c>
      <c r="E7" s="39">
        <f>'3. Revenue Forecast'!F24*1.05</f>
        <v>34650</v>
      </c>
      <c r="F7" s="39">
        <f>'3. Revenue Forecast'!G24*1.05</f>
        <v>33600</v>
      </c>
      <c r="G7" s="39">
        <f>'3. Revenue Forecast'!H24*1.05</f>
        <v>28350</v>
      </c>
      <c r="H7" s="39">
        <f>'3. Revenue Forecast'!I24*1.05</f>
        <v>31500</v>
      </c>
      <c r="I7" s="39">
        <f>'3. Revenue Forecast'!J24*1.05</f>
        <v>35700</v>
      </c>
      <c r="J7" s="39">
        <f>'3. Revenue Forecast'!K24*1.05</f>
        <v>33600</v>
      </c>
      <c r="K7" s="39">
        <f>'3. Revenue Forecast'!L24*1.05</f>
        <v>32550</v>
      </c>
      <c r="L7" s="39">
        <f>'3. Revenue Forecast'!M24*1.05</f>
        <v>27300</v>
      </c>
      <c r="M7" s="39">
        <f>L7*1.02</f>
        <v>27846</v>
      </c>
      <c r="N7" s="40">
        <f>SUM(B7:M7)</f>
        <v>384846</v>
      </c>
      <c r="O7" s="42">
        <v>371000</v>
      </c>
      <c r="P7" s="32">
        <f>(N7-O7)/O7</f>
        <v>3.7320754716981132E-2</v>
      </c>
    </row>
    <row r="8" spans="1:16" x14ac:dyDescent="0.3">
      <c r="A8" s="21" t="s">
        <v>134</v>
      </c>
      <c r="B8" s="39">
        <f>'3. Revenue Forecast'!C25*1.05</f>
        <v>7875</v>
      </c>
      <c r="C8" s="39">
        <f>'3. Revenue Forecast'!D25*1.05</f>
        <v>8400</v>
      </c>
      <c r="D8" s="39">
        <f>'3. Revenue Forecast'!E25*1.05</f>
        <v>6300</v>
      </c>
      <c r="E8" s="39">
        <f>'3. Revenue Forecast'!F25*1.05</f>
        <v>9975</v>
      </c>
      <c r="F8" s="39">
        <f>'3. Revenue Forecast'!G25*1.05</f>
        <v>7350</v>
      </c>
      <c r="G8" s="39">
        <f>'3. Revenue Forecast'!H25*1.05</f>
        <v>5775</v>
      </c>
      <c r="H8" s="39">
        <f>'3. Revenue Forecast'!I25*1.05</f>
        <v>8925</v>
      </c>
      <c r="I8" s="39">
        <f>'3. Revenue Forecast'!J25*1.05</f>
        <v>10500</v>
      </c>
      <c r="J8" s="39">
        <f>'3. Revenue Forecast'!K25*1.05</f>
        <v>9450</v>
      </c>
      <c r="K8" s="39">
        <f>'3. Revenue Forecast'!L25*1.05</f>
        <v>7875</v>
      </c>
      <c r="L8" s="39">
        <f>'3. Revenue Forecast'!M25*1.05</f>
        <v>6825</v>
      </c>
      <c r="M8" s="39">
        <f>L8*1.02</f>
        <v>6961.5</v>
      </c>
      <c r="N8" s="40">
        <f>SUM(B8:M8)</f>
        <v>96211.5</v>
      </c>
      <c r="O8" s="42">
        <v>95000</v>
      </c>
      <c r="P8" s="32">
        <f>(N8-O8)/O8</f>
        <v>1.2752631578947368E-2</v>
      </c>
    </row>
    <row r="9" spans="1:16" x14ac:dyDescent="0.3">
      <c r="A9" s="28" t="s">
        <v>32</v>
      </c>
      <c r="B9" s="40">
        <f t="shared" ref="B9:O9" si="0">SUM(B6:B8)</f>
        <v>217260.75</v>
      </c>
      <c r="C9" s="40">
        <f t="shared" si="0"/>
        <v>233867.39250000002</v>
      </c>
      <c r="D9" s="40">
        <f t="shared" si="0"/>
        <v>236180.21857500001</v>
      </c>
      <c r="E9" s="40">
        <f t="shared" si="0"/>
        <v>256760.91638924999</v>
      </c>
      <c r="F9" s="40">
        <f t="shared" si="0"/>
        <v>262514.55722535751</v>
      </c>
      <c r="G9" s="40">
        <f t="shared" si="0"/>
        <v>262923.91165310389</v>
      </c>
      <c r="H9" s="40">
        <f t="shared" si="0"/>
        <v>280060.92253657291</v>
      </c>
      <c r="I9" s="40">
        <f t="shared" si="0"/>
        <v>299189.56331120717</v>
      </c>
      <c r="J9" s="40">
        <f t="shared" si="0"/>
        <v>308734.66767809511</v>
      </c>
      <c r="K9" s="40">
        <f t="shared" si="0"/>
        <v>317627.82100131415</v>
      </c>
      <c r="L9" s="40">
        <f t="shared" si="0"/>
        <v>320105.79279130098</v>
      </c>
      <c r="M9" s="40">
        <f t="shared" si="0"/>
        <v>332227.52450295305</v>
      </c>
      <c r="N9" s="40">
        <f t="shared" si="0"/>
        <v>3327454.0381641546</v>
      </c>
      <c r="O9" s="40">
        <f t="shared" si="0"/>
        <v>2432000</v>
      </c>
      <c r="P9" s="5">
        <f>(N9-O9)/O9</f>
        <v>0.36819656174512938</v>
      </c>
    </row>
    <row r="10" spans="1:16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6" x14ac:dyDescent="0.3">
      <c r="A11" s="10" t="s">
        <v>135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6" x14ac:dyDescent="0.3">
      <c r="A12" s="21" t="s">
        <v>136</v>
      </c>
      <c r="B12" s="42">
        <v>98000</v>
      </c>
      <c r="C12" s="42">
        <v>99500</v>
      </c>
      <c r="D12" s="42">
        <v>101000</v>
      </c>
      <c r="E12" s="42">
        <v>103000</v>
      </c>
      <c r="F12" s="42">
        <v>105000</v>
      </c>
      <c r="G12" s="42">
        <v>107500</v>
      </c>
      <c r="H12" s="42">
        <v>109000</v>
      </c>
      <c r="I12" s="42">
        <v>111000</v>
      </c>
      <c r="J12" s="42">
        <v>113500</v>
      </c>
      <c r="K12" s="42">
        <v>115000</v>
      </c>
      <c r="L12" s="42">
        <v>117000</v>
      </c>
      <c r="M12" s="42">
        <v>119000</v>
      </c>
      <c r="N12" s="40">
        <f>SUM(B12:M12)</f>
        <v>1298500</v>
      </c>
      <c r="O12" s="42">
        <v>1218000</v>
      </c>
      <c r="P12" s="32">
        <f t="shared" ref="P12:P17" si="1">(N12-O12)/O12</f>
        <v>6.6091954022988508E-2</v>
      </c>
    </row>
    <row r="13" spans="1:16" x14ac:dyDescent="0.3">
      <c r="A13" s="21" t="s">
        <v>76</v>
      </c>
      <c r="B13" s="42">
        <v>20000</v>
      </c>
      <c r="C13" s="42">
        <v>21500</v>
      </c>
      <c r="D13" s="42">
        <v>22000</v>
      </c>
      <c r="E13" s="42">
        <v>23500</v>
      </c>
      <c r="F13" s="42">
        <v>21000</v>
      </c>
      <c r="G13" s="42">
        <v>19000</v>
      </c>
      <c r="H13" s="42">
        <v>20500</v>
      </c>
      <c r="I13" s="42">
        <v>24000</v>
      </c>
      <c r="J13" s="42">
        <v>26000</v>
      </c>
      <c r="K13" s="42">
        <v>25000</v>
      </c>
      <c r="L13" s="42">
        <v>22000</v>
      </c>
      <c r="M13" s="42">
        <v>21000</v>
      </c>
      <c r="N13" s="40">
        <f>SUM(B13:M13)</f>
        <v>265500</v>
      </c>
      <c r="O13" s="42">
        <v>246000</v>
      </c>
      <c r="P13" s="32">
        <f t="shared" si="1"/>
        <v>7.926829268292683E-2</v>
      </c>
    </row>
    <row r="14" spans="1:16" x14ac:dyDescent="0.3">
      <c r="A14" s="21" t="s">
        <v>137</v>
      </c>
      <c r="B14" s="42">
        <v>26500</v>
      </c>
      <c r="C14" s="42">
        <v>27000</v>
      </c>
      <c r="D14" s="42">
        <v>27500</v>
      </c>
      <c r="E14" s="42">
        <v>28000</v>
      </c>
      <c r="F14" s="42">
        <v>28500</v>
      </c>
      <c r="G14" s="42">
        <v>29000</v>
      </c>
      <c r="H14" s="42">
        <v>29500</v>
      </c>
      <c r="I14" s="42">
        <v>30000</v>
      </c>
      <c r="J14" s="42">
        <v>30500</v>
      </c>
      <c r="K14" s="42">
        <v>31000</v>
      </c>
      <c r="L14" s="42">
        <v>31500</v>
      </c>
      <c r="M14" s="42">
        <v>32000</v>
      </c>
      <c r="N14" s="40">
        <f>SUM(B14:M14)</f>
        <v>351000</v>
      </c>
      <c r="O14" s="42">
        <v>333000</v>
      </c>
      <c r="P14" s="32">
        <f t="shared" si="1"/>
        <v>5.4054054054054057E-2</v>
      </c>
    </row>
    <row r="15" spans="1:16" x14ac:dyDescent="0.3">
      <c r="A15" s="21" t="s">
        <v>138</v>
      </c>
      <c r="B15" s="42">
        <v>12500</v>
      </c>
      <c r="C15" s="42">
        <v>13000</v>
      </c>
      <c r="D15" s="42">
        <v>13000</v>
      </c>
      <c r="E15" s="42">
        <v>13500</v>
      </c>
      <c r="F15" s="42">
        <v>13500</v>
      </c>
      <c r="G15" s="42">
        <v>14000</v>
      </c>
      <c r="H15" s="42">
        <v>14000</v>
      </c>
      <c r="I15" s="42">
        <v>14500</v>
      </c>
      <c r="J15" s="42">
        <v>14500</v>
      </c>
      <c r="K15" s="42">
        <v>15000</v>
      </c>
      <c r="L15" s="42">
        <v>15000</v>
      </c>
      <c r="M15" s="42">
        <v>15500</v>
      </c>
      <c r="N15" s="40">
        <f>SUM(B15:M15)</f>
        <v>168000</v>
      </c>
      <c r="O15" s="42">
        <v>159000</v>
      </c>
      <c r="P15" s="32">
        <f t="shared" si="1"/>
        <v>5.6603773584905662E-2</v>
      </c>
    </row>
    <row r="16" spans="1:16" x14ac:dyDescent="0.3">
      <c r="A16" s="21" t="s">
        <v>79</v>
      </c>
      <c r="B16" s="42">
        <v>8200</v>
      </c>
      <c r="C16" s="42">
        <v>8400</v>
      </c>
      <c r="D16" s="42">
        <v>8400</v>
      </c>
      <c r="E16" s="42">
        <v>8600</v>
      </c>
      <c r="F16" s="42">
        <v>8600</v>
      </c>
      <c r="G16" s="42">
        <v>8800</v>
      </c>
      <c r="H16" s="42">
        <v>8800</v>
      </c>
      <c r="I16" s="42">
        <v>9000</v>
      </c>
      <c r="J16" s="42">
        <v>9000</v>
      </c>
      <c r="K16" s="42">
        <v>9200</v>
      </c>
      <c r="L16" s="42">
        <v>9200</v>
      </c>
      <c r="M16" s="42">
        <v>9400</v>
      </c>
      <c r="N16" s="40">
        <f>SUM(B16:M16)</f>
        <v>105600</v>
      </c>
      <c r="O16" s="42">
        <v>102000</v>
      </c>
      <c r="P16" s="32">
        <f t="shared" si="1"/>
        <v>3.5294117647058823E-2</v>
      </c>
    </row>
    <row r="17" spans="1:16" x14ac:dyDescent="0.3">
      <c r="A17" s="28" t="s">
        <v>139</v>
      </c>
      <c r="B17" s="40">
        <f t="shared" ref="B17:O17" si="2">SUM(B12:B16)</f>
        <v>165200</v>
      </c>
      <c r="C17" s="40">
        <f t="shared" si="2"/>
        <v>169400</v>
      </c>
      <c r="D17" s="40">
        <f t="shared" si="2"/>
        <v>171900</v>
      </c>
      <c r="E17" s="40">
        <f t="shared" si="2"/>
        <v>176600</v>
      </c>
      <c r="F17" s="40">
        <f t="shared" si="2"/>
        <v>176600</v>
      </c>
      <c r="G17" s="40">
        <f t="shared" si="2"/>
        <v>178300</v>
      </c>
      <c r="H17" s="40">
        <f t="shared" si="2"/>
        <v>181800</v>
      </c>
      <c r="I17" s="40">
        <f t="shared" si="2"/>
        <v>188500</v>
      </c>
      <c r="J17" s="40">
        <f t="shared" si="2"/>
        <v>193500</v>
      </c>
      <c r="K17" s="40">
        <f t="shared" si="2"/>
        <v>195200</v>
      </c>
      <c r="L17" s="40">
        <f t="shared" si="2"/>
        <v>194700</v>
      </c>
      <c r="M17" s="40">
        <f t="shared" si="2"/>
        <v>196900</v>
      </c>
      <c r="N17" s="40">
        <f t="shared" si="2"/>
        <v>2188600</v>
      </c>
      <c r="O17" s="40">
        <f t="shared" si="2"/>
        <v>2058000</v>
      </c>
      <c r="P17" s="5">
        <f t="shared" si="1"/>
        <v>6.3459669582118558E-2</v>
      </c>
    </row>
    <row r="18" spans="1:16" x14ac:dyDescent="0.3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 spans="1:16" x14ac:dyDescent="0.3">
      <c r="A19" s="10" t="s">
        <v>140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</row>
    <row r="20" spans="1:16" x14ac:dyDescent="0.3">
      <c r="A20" s="28" t="s">
        <v>141</v>
      </c>
      <c r="B20" s="40">
        <f t="shared" ref="B20:O20" si="3">B9-B17</f>
        <v>52060.75</v>
      </c>
      <c r="C20" s="40">
        <f t="shared" si="3"/>
        <v>64467.392500000016</v>
      </c>
      <c r="D20" s="40">
        <f t="shared" si="3"/>
        <v>64280.218575000006</v>
      </c>
      <c r="E20" s="40">
        <f t="shared" si="3"/>
        <v>80160.916389249993</v>
      </c>
      <c r="F20" s="40">
        <f t="shared" si="3"/>
        <v>85914.557225357508</v>
      </c>
      <c r="G20" s="40">
        <f t="shared" si="3"/>
        <v>84623.911653103889</v>
      </c>
      <c r="H20" s="40">
        <f t="shared" si="3"/>
        <v>98260.922536572907</v>
      </c>
      <c r="I20" s="40">
        <f t="shared" si="3"/>
        <v>110689.56331120717</v>
      </c>
      <c r="J20" s="40">
        <f t="shared" si="3"/>
        <v>115234.66767809511</v>
      </c>
      <c r="K20" s="40">
        <f t="shared" si="3"/>
        <v>122427.82100131415</v>
      </c>
      <c r="L20" s="40">
        <f t="shared" si="3"/>
        <v>125405.79279130098</v>
      </c>
      <c r="M20" s="40">
        <f t="shared" si="3"/>
        <v>135327.52450295305</v>
      </c>
      <c r="N20" s="40">
        <f t="shared" si="3"/>
        <v>1138854.0381641546</v>
      </c>
      <c r="O20" s="40">
        <f t="shared" si="3"/>
        <v>374000</v>
      </c>
      <c r="P20" s="5">
        <f>(N20-O20)/ABS(O20)</f>
        <v>2.0450642731661888</v>
      </c>
    </row>
    <row r="21" spans="1:16" x14ac:dyDescent="0.3">
      <c r="A21" s="31" t="s">
        <v>142</v>
      </c>
      <c r="B21" s="32">
        <f t="shared" ref="B21:O21" si="4">B20/B9</f>
        <v>0.23962335580632949</v>
      </c>
      <c r="C21" s="32">
        <f t="shared" si="4"/>
        <v>0.2756578923246002</v>
      </c>
      <c r="D21" s="32">
        <f t="shared" si="4"/>
        <v>0.27216597123517167</v>
      </c>
      <c r="E21" s="32">
        <f t="shared" si="4"/>
        <v>0.31220061649774572</v>
      </c>
      <c r="F21" s="32">
        <f t="shared" si="4"/>
        <v>0.32727540191839166</v>
      </c>
      <c r="G21" s="32">
        <f t="shared" si="4"/>
        <v>0.32185703887121092</v>
      </c>
      <c r="H21" s="32">
        <f t="shared" si="4"/>
        <v>0.35085552688537297</v>
      </c>
      <c r="I21" s="32">
        <f t="shared" si="4"/>
        <v>0.36996465413491553</v>
      </c>
      <c r="J21" s="32">
        <f t="shared" si="4"/>
        <v>0.37324822814600639</v>
      </c>
      <c r="K21" s="32">
        <f t="shared" si="4"/>
        <v>0.38544426182619446</v>
      </c>
      <c r="L21" s="32">
        <f t="shared" si="4"/>
        <v>0.391763584463033</v>
      </c>
      <c r="M21" s="32">
        <f t="shared" si="4"/>
        <v>0.4073338736921846</v>
      </c>
      <c r="N21" s="5">
        <f t="shared" si="4"/>
        <v>0.342259885516703</v>
      </c>
      <c r="O21" s="5">
        <f t="shared" si="4"/>
        <v>0.15378289473684212</v>
      </c>
      <c r="P21" s="16"/>
    </row>
    <row r="22" spans="1:16" x14ac:dyDescent="0.3">
      <c r="A22" s="21" t="s">
        <v>143</v>
      </c>
      <c r="B22" s="44">
        <f t="shared" ref="B22:M22" si="5">IF(B20&lt;0,-B20,0)</f>
        <v>0</v>
      </c>
      <c r="C22" s="44">
        <f t="shared" si="5"/>
        <v>0</v>
      </c>
      <c r="D22" s="44">
        <f t="shared" si="5"/>
        <v>0</v>
      </c>
      <c r="E22" s="44">
        <f t="shared" si="5"/>
        <v>0</v>
      </c>
      <c r="F22" s="44">
        <f t="shared" si="5"/>
        <v>0</v>
      </c>
      <c r="G22" s="44">
        <f t="shared" si="5"/>
        <v>0</v>
      </c>
      <c r="H22" s="44">
        <f t="shared" si="5"/>
        <v>0</v>
      </c>
      <c r="I22" s="44">
        <f t="shared" si="5"/>
        <v>0</v>
      </c>
      <c r="J22" s="44">
        <f t="shared" si="5"/>
        <v>0</v>
      </c>
      <c r="K22" s="44">
        <f t="shared" si="5"/>
        <v>0</v>
      </c>
      <c r="L22" s="44">
        <f t="shared" si="5"/>
        <v>0</v>
      </c>
      <c r="M22" s="44">
        <f t="shared" si="5"/>
        <v>0</v>
      </c>
      <c r="N22" s="45">
        <f>AVERAGE(B22:M22)</f>
        <v>0</v>
      </c>
      <c r="O22" s="29" t="s">
        <v>144</v>
      </c>
      <c r="P22" s="16"/>
    </row>
    <row r="23" spans="1:16" x14ac:dyDescent="0.3">
      <c r="A23" s="21" t="s">
        <v>145</v>
      </c>
      <c r="B23" s="32">
        <f t="shared" ref="B23:M23" si="6">(B9-B9/1.35)/(B9/1.35)</f>
        <v>0.35000000000000009</v>
      </c>
      <c r="C23" s="32">
        <f t="shared" si="6"/>
        <v>0.35000000000000014</v>
      </c>
      <c r="D23" s="32">
        <f t="shared" si="6"/>
        <v>0.35000000000000014</v>
      </c>
      <c r="E23" s="32">
        <f t="shared" si="6"/>
        <v>0.35000000000000003</v>
      </c>
      <c r="F23" s="32">
        <f t="shared" si="6"/>
        <v>0.35000000000000014</v>
      </c>
      <c r="G23" s="32">
        <f t="shared" si="6"/>
        <v>0.35000000000000014</v>
      </c>
      <c r="H23" s="32">
        <f t="shared" si="6"/>
        <v>0.35000000000000009</v>
      </c>
      <c r="I23" s="32">
        <f t="shared" si="6"/>
        <v>0.35000000000000009</v>
      </c>
      <c r="J23" s="32">
        <f t="shared" si="6"/>
        <v>0.35000000000000009</v>
      </c>
      <c r="K23" s="32">
        <f t="shared" si="6"/>
        <v>0.35000000000000003</v>
      </c>
      <c r="L23" s="32">
        <f t="shared" si="6"/>
        <v>0.35000000000000003</v>
      </c>
      <c r="M23" s="32">
        <f t="shared" si="6"/>
        <v>0.35000000000000009</v>
      </c>
      <c r="N23" s="46">
        <v>0.35</v>
      </c>
      <c r="O23" s="29" t="s">
        <v>146</v>
      </c>
      <c r="P2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B588-6AE2-8D40-8021-D61E40ABFE62}">
  <dimension ref="A1:J23"/>
  <sheetViews>
    <sheetView workbookViewId="0">
      <selection activeCell="C16" sqref="C16"/>
    </sheetView>
  </sheetViews>
  <sheetFormatPr baseColWidth="10" defaultRowHeight="15.6" x14ac:dyDescent="0.3"/>
  <cols>
    <col min="1" max="1" width="33.296875" style="1" customWidth="1"/>
    <col min="2" max="10" width="16.69921875" style="1" customWidth="1"/>
    <col min="11" max="16384" width="11.19921875" style="1"/>
  </cols>
  <sheetData>
    <row r="1" spans="1:10" ht="21" x14ac:dyDescent="0.4">
      <c r="A1" s="47" t="s">
        <v>147</v>
      </c>
    </row>
    <row r="2" spans="1:10" x14ac:dyDescent="0.3">
      <c r="A2" s="3"/>
    </row>
    <row r="4" spans="1:10" x14ac:dyDescent="0.3">
      <c r="A4" s="48" t="s">
        <v>148</v>
      </c>
      <c r="G4" s="48" t="s">
        <v>175</v>
      </c>
    </row>
    <row r="5" spans="1:10" x14ac:dyDescent="0.3">
      <c r="A5" s="48" t="s">
        <v>82</v>
      </c>
      <c r="B5" s="53" t="s">
        <v>149</v>
      </c>
      <c r="C5" s="53" t="s">
        <v>146</v>
      </c>
      <c r="D5" s="53" t="s">
        <v>17</v>
      </c>
      <c r="E5" s="53" t="s">
        <v>150</v>
      </c>
      <c r="G5" s="49" t="s">
        <v>176</v>
      </c>
      <c r="H5" s="52" t="s">
        <v>177</v>
      </c>
      <c r="I5" s="52" t="s">
        <v>178</v>
      </c>
      <c r="J5" s="52" t="s">
        <v>179</v>
      </c>
    </row>
    <row r="6" spans="1:10" x14ac:dyDescent="0.3">
      <c r="A6" s="54" t="s">
        <v>151</v>
      </c>
      <c r="B6" s="70">
        <f>'3. Revenue Forecast'!M18</f>
        <v>272362.65980123903</v>
      </c>
      <c r="C6" s="64">
        <v>250000</v>
      </c>
      <c r="D6" s="66" t="str">
        <f>IF(B6&gt;=C6,"✓ On Target",IF(B6&gt;=C6*0.9,"⚠ Monitor","✗ Below"))</f>
        <v>✓ On Target</v>
      </c>
      <c r="E6" s="7" t="s">
        <v>152</v>
      </c>
      <c r="G6" s="55" t="s">
        <v>1</v>
      </c>
      <c r="H6" s="72">
        <f>'3. Revenue Forecast'!B18</f>
        <v>158500</v>
      </c>
      <c r="I6" s="72">
        <f>'3. Revenue Forecast'!B26</f>
        <v>191500</v>
      </c>
      <c r="J6" s="7" t="s">
        <v>122</v>
      </c>
    </row>
    <row r="7" spans="1:10" x14ac:dyDescent="0.3">
      <c r="A7" s="54" t="s">
        <v>153</v>
      </c>
      <c r="B7" s="70">
        <f>B6*12</f>
        <v>3268351.9176148684</v>
      </c>
      <c r="C7" s="64">
        <v>3000000</v>
      </c>
      <c r="D7" s="66" t="str">
        <f>IF(B7&gt;=C7,"✓ On Target",IF(B7&gt;=C7*0.9,"⚠ Monitor","✗ Below"))</f>
        <v>✓ On Target</v>
      </c>
      <c r="E7" s="7" t="s">
        <v>154</v>
      </c>
      <c r="G7" s="55" t="s">
        <v>2</v>
      </c>
      <c r="H7" s="72">
        <f>'3. Revenue Forecast'!C18</f>
        <v>168415</v>
      </c>
      <c r="I7" s="72">
        <f>'3. Revenue Forecast'!C26</f>
        <v>206915</v>
      </c>
      <c r="J7" s="6">
        <f t="shared" ref="J7:J17" si="0">(I7-I6)/I6</f>
        <v>8.0496083550913838E-2</v>
      </c>
    </row>
    <row r="8" spans="1:10" x14ac:dyDescent="0.3">
      <c r="A8" s="56" t="s">
        <v>155</v>
      </c>
      <c r="B8" s="64">
        <v>1200</v>
      </c>
      <c r="C8" s="64">
        <v>1500</v>
      </c>
      <c r="D8" s="66" t="str">
        <f>IF(B8&lt;=C8,"✓ On Target",IF(B8&lt;=C8*1.1,"⚠ Monitor","✗ High"))</f>
        <v>✓ On Target</v>
      </c>
      <c r="E8" s="7" t="s">
        <v>156</v>
      </c>
      <c r="G8" s="55" t="s">
        <v>3</v>
      </c>
      <c r="H8" s="72">
        <f>'3. Revenue Forecast'!D18</f>
        <v>179730.85</v>
      </c>
      <c r="I8" s="72">
        <f>'3. Revenue Forecast'!D26</f>
        <v>222730.85</v>
      </c>
      <c r="J8" s="6">
        <f t="shared" si="0"/>
        <v>7.6436459415702124E-2</v>
      </c>
    </row>
    <row r="9" spans="1:10" x14ac:dyDescent="0.3">
      <c r="A9" s="56" t="s">
        <v>157</v>
      </c>
      <c r="B9" s="64">
        <v>4500</v>
      </c>
      <c r="C9" s="64">
        <v>4000</v>
      </c>
      <c r="D9" s="66" t="str">
        <f>IF(B9&gt;=C9,"✓ On Target",IF(B9&gt;=C9*0.9,"⚠ Monitor","✗ Below"))</f>
        <v>✓ On Target</v>
      </c>
      <c r="E9" s="7" t="s">
        <v>158</v>
      </c>
      <c r="G9" s="55" t="s">
        <v>4</v>
      </c>
      <c r="H9" s="72">
        <f>'3. Revenue Forecast'!E18</f>
        <v>189933.54149999999</v>
      </c>
      <c r="I9" s="72">
        <f>'3. Revenue Forecast'!E26</f>
        <v>224933.54149999999</v>
      </c>
      <c r="J9" s="6">
        <f t="shared" si="0"/>
        <v>9.8894764690207315E-3</v>
      </c>
    </row>
    <row r="10" spans="1:10" x14ac:dyDescent="0.3">
      <c r="A10" s="54" t="s">
        <v>159</v>
      </c>
      <c r="B10" s="58">
        <f>B9/B8</f>
        <v>3.75</v>
      </c>
      <c r="C10" s="63" t="s">
        <v>160</v>
      </c>
      <c r="D10" s="66" t="str">
        <f>IF(B10&gt;=3,"✓ On Target",IF(B10&gt;=2,"⚠ Monitor","✗ Low"))</f>
        <v>✓ On Target</v>
      </c>
      <c r="E10" s="7" t="s">
        <v>161</v>
      </c>
      <c r="G10" s="55" t="s">
        <v>5</v>
      </c>
      <c r="H10" s="72">
        <f>'3. Revenue Forecast'!F18</f>
        <v>202034.20608499998</v>
      </c>
      <c r="I10" s="72">
        <f>'3. Revenue Forecast'!F26</f>
        <v>244534.20608499998</v>
      </c>
      <c r="J10" s="6">
        <f t="shared" si="0"/>
        <v>8.7139803402775273E-2</v>
      </c>
    </row>
    <row r="11" spans="1:10" x14ac:dyDescent="0.3">
      <c r="A11" s="56" t="s">
        <v>162</v>
      </c>
      <c r="B11" s="64">
        <f>B6/45</f>
        <v>6052.503551138645</v>
      </c>
      <c r="C11" s="64">
        <v>5000</v>
      </c>
      <c r="D11" s="66" t="str">
        <f>IF(B11&gt;=C11,"✓ On Target",IF(B11&gt;=C11*0.9,"⚠ Monitor","✗ Below"))</f>
        <v>✓ On Target</v>
      </c>
      <c r="E11" s="7" t="s">
        <v>163</v>
      </c>
      <c r="G11" s="55" t="s">
        <v>6</v>
      </c>
      <c r="H11" s="72">
        <f>'3. Revenue Forecast'!G18</f>
        <v>211013.86402414998</v>
      </c>
      <c r="I11" s="72">
        <f>'3. Revenue Forecast'!G26</f>
        <v>250013.86402414998</v>
      </c>
      <c r="J11" s="6">
        <f t="shared" si="0"/>
        <v>2.2408553906954315E-2</v>
      </c>
    </row>
    <row r="12" spans="1:10" x14ac:dyDescent="0.3">
      <c r="A12" s="56" t="s">
        <v>164</v>
      </c>
      <c r="B12" s="60">
        <v>0.78</v>
      </c>
      <c r="C12" s="60">
        <v>0.75</v>
      </c>
      <c r="D12" s="66" t="str">
        <f>IF(B12&gt;=C12,"✓ On Target",IF(B12&gt;=C12*0.95,"⚠ Monitor","✗ Below"))</f>
        <v>✓ On Target</v>
      </c>
      <c r="E12" s="7" t="s">
        <v>165</v>
      </c>
      <c r="G12" s="55" t="s">
        <v>7</v>
      </c>
      <c r="H12" s="72">
        <f>'3. Revenue Forecast'!H18</f>
        <v>217903.72538390849</v>
      </c>
      <c r="I12" s="72">
        <f>'3. Revenue Forecast'!H26</f>
        <v>250403.72538390849</v>
      </c>
      <c r="J12" s="6">
        <f t="shared" si="0"/>
        <v>1.5593589630727351E-3</v>
      </c>
    </row>
    <row r="13" spans="1:10" x14ac:dyDescent="0.3">
      <c r="A13" s="54" t="s">
        <v>166</v>
      </c>
      <c r="B13" s="61">
        <v>1.1200000000000001</v>
      </c>
      <c r="C13" s="60">
        <v>1.1000000000000001</v>
      </c>
      <c r="D13" s="66" t="str">
        <f>IF(B13&gt;=C13,"✓ On Target",IF(B13&gt;=C13*0.95,"⚠ Monitor","✗ Below"))</f>
        <v>✓ On Target</v>
      </c>
      <c r="E13" s="7" t="s">
        <v>167</v>
      </c>
      <c r="G13" s="55" t="s">
        <v>8</v>
      </c>
      <c r="H13" s="72">
        <f>'3. Revenue Forecast'!I18</f>
        <v>228224.68813006941</v>
      </c>
      <c r="I13" s="72">
        <f>'3. Revenue Forecast'!I26</f>
        <v>266724.68813006941</v>
      </c>
      <c r="J13" s="6">
        <f t="shared" si="0"/>
        <v>6.5178593973145987E-2</v>
      </c>
    </row>
    <row r="14" spans="1:10" x14ac:dyDescent="0.3">
      <c r="A14" s="56" t="s">
        <v>106</v>
      </c>
      <c r="B14" s="60">
        <v>3.7999999999999999E-2</v>
      </c>
      <c r="C14" s="60">
        <v>0.04</v>
      </c>
      <c r="D14" s="66" t="str">
        <f>IF(B14&lt;=C14,"✓ On Target",IF(B14&lt;=C14*1.1,"⚠ Monitor","✗ High"))</f>
        <v>✓ On Target</v>
      </c>
      <c r="E14" s="7" t="s">
        <v>168</v>
      </c>
      <c r="G14" s="55" t="s">
        <v>9</v>
      </c>
      <c r="H14" s="72">
        <f>'3. Revenue Forecast'!J18</f>
        <v>240942.44124876871</v>
      </c>
      <c r="I14" s="72">
        <f>'3. Revenue Forecast'!J26</f>
        <v>284942.44124876871</v>
      </c>
      <c r="J14" s="6">
        <f t="shared" si="0"/>
        <v>6.8301713075076639E-2</v>
      </c>
    </row>
    <row r="15" spans="1:10" x14ac:dyDescent="0.3">
      <c r="A15" s="54" t="s">
        <v>169</v>
      </c>
      <c r="B15" s="71">
        <v>850000</v>
      </c>
      <c r="C15" s="64">
        <v>500000</v>
      </c>
      <c r="D15" s="66" t="str">
        <f>IF(B15&gt;=C15,"✓ On Target",IF(B15&gt;=C15*0.8,"⚠ Monitor","✗ Low"))</f>
        <v>✓ On Target</v>
      </c>
      <c r="E15" s="7" t="s">
        <v>170</v>
      </c>
      <c r="G15" s="55" t="s">
        <v>10</v>
      </c>
      <c r="H15" s="72">
        <f>'3. Revenue Forecast'!K18</f>
        <v>253033.01683628102</v>
      </c>
      <c r="I15" s="72">
        <f>'3. Revenue Forecast'!K26</f>
        <v>294033.01683628105</v>
      </c>
      <c r="J15" s="6">
        <f t="shared" si="0"/>
        <v>3.1903199634538915E-2</v>
      </c>
    </row>
    <row r="16" spans="1:10" x14ac:dyDescent="0.3">
      <c r="A16" s="54" t="s">
        <v>171</v>
      </c>
      <c r="B16" s="59">
        <f>B15/20000</f>
        <v>42.5</v>
      </c>
      <c r="C16" s="64">
        <v>12</v>
      </c>
      <c r="D16" s="66" t="str">
        <f>IF(B16&gt;=C16,"✓ On Target",IF(B16&gt;=C16*0.75,"⚠ Monitor","✗ Critical"))</f>
        <v>✓ On Target</v>
      </c>
      <c r="E16" s="7" t="s">
        <v>172</v>
      </c>
      <c r="G16" s="55" t="s">
        <v>11</v>
      </c>
      <c r="H16" s="72">
        <f>'3. Revenue Forecast'!L18</f>
        <v>264002.68666791823</v>
      </c>
      <c r="I16" s="72">
        <f>'3. Revenue Forecast'!L26</f>
        <v>302502.68666791823</v>
      </c>
      <c r="J16" s="6">
        <f t="shared" si="0"/>
        <v>2.8805165905409623E-2</v>
      </c>
    </row>
    <row r="17" spans="1:10" x14ac:dyDescent="0.3">
      <c r="A17" s="56" t="s">
        <v>173</v>
      </c>
      <c r="B17" s="62">
        <v>2.8</v>
      </c>
      <c r="C17" s="62">
        <v>2</v>
      </c>
      <c r="D17" s="66" t="str">
        <f>IF(B17&gt;=C17,"✓ On Target",IF(B17&gt;=C17*0.8,"⚠ Monitor","✗ Low"))</f>
        <v>✓ On Target</v>
      </c>
      <c r="E17" s="7" t="s">
        <v>174</v>
      </c>
      <c r="G17" s="55" t="s">
        <v>12</v>
      </c>
      <c r="H17" s="72">
        <f>'3. Revenue Forecast'!M18</f>
        <v>272362.65980123903</v>
      </c>
      <c r="I17" s="72">
        <f>'3. Revenue Forecast'!M26</f>
        <v>304862.65980123903</v>
      </c>
      <c r="J17" s="6">
        <f t="shared" si="0"/>
        <v>7.8014947877522089E-3</v>
      </c>
    </row>
    <row r="19" spans="1:10" x14ac:dyDescent="0.3">
      <c r="A19" s="48" t="s">
        <v>180</v>
      </c>
    </row>
    <row r="20" spans="1:10" x14ac:dyDescent="0.3">
      <c r="A20" s="51" t="s">
        <v>181</v>
      </c>
      <c r="B20" s="49" t="s">
        <v>182</v>
      </c>
      <c r="C20" s="1" t="s">
        <v>183</v>
      </c>
    </row>
    <row r="21" spans="1:10" x14ac:dyDescent="0.3">
      <c r="A21" s="54" t="s">
        <v>184</v>
      </c>
      <c r="B21" s="70">
        <f>'3. Revenue Forecast'!N26</f>
        <v>3044096.6796773346</v>
      </c>
      <c r="C21" s="68" t="s">
        <v>185</v>
      </c>
      <c r="D21" s="67">
        <f>('3. Revenue Forecast'!N26-2432000)/2432000</f>
        <v>0.25168448999890403</v>
      </c>
      <c r="E21" s="9" t="s">
        <v>186</v>
      </c>
    </row>
    <row r="22" spans="1:10" x14ac:dyDescent="0.3">
      <c r="A22" s="54" t="s">
        <v>187</v>
      </c>
      <c r="B22" s="70">
        <f>B7</f>
        <v>3268351.9176148684</v>
      </c>
      <c r="C22" s="68" t="s">
        <v>188</v>
      </c>
      <c r="D22" s="67">
        <f>(B7-1800000)/1800000</f>
        <v>0.81575106534159358</v>
      </c>
      <c r="E22" s="9" t="s">
        <v>189</v>
      </c>
    </row>
    <row r="23" spans="1:10" x14ac:dyDescent="0.3">
      <c r="A23" s="54" t="s">
        <v>190</v>
      </c>
      <c r="B23" s="70">
        <f>B15</f>
        <v>850000</v>
      </c>
      <c r="C23" s="68" t="str">
        <f>B16&amp;" months runway"</f>
        <v>42,5 months runway</v>
      </c>
      <c r="D23" s="66" t="s">
        <v>191</v>
      </c>
      <c r="E2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AA96-7B70-AA4A-8CA9-2DF5F47DBF0F}">
  <dimension ref="A1:P21"/>
  <sheetViews>
    <sheetView workbookViewId="0">
      <pane ySplit="4" topLeftCell="A5" activePane="bottomLeft" state="frozen"/>
      <selection pane="bottomLeft" activeCell="A2" sqref="A2"/>
    </sheetView>
  </sheetViews>
  <sheetFormatPr baseColWidth="10" defaultRowHeight="15.6" x14ac:dyDescent="0.3"/>
  <cols>
    <col min="1" max="1" width="30" style="1" customWidth="1"/>
    <col min="2" max="16" width="12.5" style="1" customWidth="1"/>
    <col min="17" max="16384" width="11.19921875" style="1"/>
  </cols>
  <sheetData>
    <row r="1" spans="1:16" ht="21" x14ac:dyDescent="0.4">
      <c r="A1" s="47" t="s">
        <v>192</v>
      </c>
    </row>
    <row r="2" spans="1:16" x14ac:dyDescent="0.3">
      <c r="A2" s="3"/>
    </row>
    <row r="4" spans="1:16" x14ac:dyDescent="0.3">
      <c r="A4" s="48" t="s">
        <v>0</v>
      </c>
      <c r="B4" s="52" t="s">
        <v>193</v>
      </c>
      <c r="C4" s="52" t="s">
        <v>194</v>
      </c>
      <c r="D4" s="52" t="s">
        <v>195</v>
      </c>
      <c r="E4" s="52" t="s">
        <v>196</v>
      </c>
      <c r="F4" s="52" t="s">
        <v>197</v>
      </c>
      <c r="G4" s="52" t="s">
        <v>198</v>
      </c>
      <c r="H4" s="52" t="s">
        <v>199</v>
      </c>
      <c r="I4" s="52" t="s">
        <v>200</v>
      </c>
      <c r="J4" s="52" t="s">
        <v>201</v>
      </c>
      <c r="K4" s="52" t="s">
        <v>202</v>
      </c>
      <c r="L4" s="52" t="s">
        <v>203</v>
      </c>
      <c r="M4" s="52" t="s">
        <v>204</v>
      </c>
      <c r="N4" s="52" t="s">
        <v>205</v>
      </c>
      <c r="O4" s="52" t="s">
        <v>206</v>
      </c>
      <c r="P4" s="52" t="s">
        <v>207</v>
      </c>
    </row>
    <row r="5" spans="1:16" x14ac:dyDescent="0.3">
      <c r="A5" s="54" t="s">
        <v>208</v>
      </c>
      <c r="B5" s="75">
        <v>850000</v>
      </c>
      <c r="C5" s="70">
        <f t="shared" ref="C5:N5" si="0">B20</f>
        <v>870000</v>
      </c>
      <c r="D5" s="70">
        <f t="shared" si="0"/>
        <v>785500</v>
      </c>
      <c r="E5" s="70">
        <f t="shared" si="0"/>
        <v>821500</v>
      </c>
      <c r="F5" s="70">
        <f t="shared" si="0"/>
        <v>738300</v>
      </c>
      <c r="G5" s="70">
        <f t="shared" si="0"/>
        <v>757500</v>
      </c>
      <c r="H5" s="70">
        <f t="shared" si="0"/>
        <v>672600</v>
      </c>
      <c r="I5" s="70">
        <f t="shared" si="0"/>
        <v>710600</v>
      </c>
      <c r="J5" s="70">
        <f t="shared" si="0"/>
        <v>625300</v>
      </c>
      <c r="K5" s="70">
        <f t="shared" si="0"/>
        <v>652100</v>
      </c>
      <c r="L5" s="70">
        <f t="shared" si="0"/>
        <v>568000</v>
      </c>
      <c r="M5" s="70">
        <f t="shared" si="0"/>
        <v>603100</v>
      </c>
      <c r="N5" s="70">
        <f t="shared" si="0"/>
        <v>518400</v>
      </c>
      <c r="O5" s="57"/>
      <c r="P5" s="56"/>
    </row>
    <row r="6" spans="1:16" x14ac:dyDescent="0.3"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6" x14ac:dyDescent="0.3">
      <c r="A7" s="48" t="s">
        <v>209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6" x14ac:dyDescent="0.3">
      <c r="A8" s="56" t="s">
        <v>210</v>
      </c>
      <c r="B8" s="64">
        <v>48000</v>
      </c>
      <c r="C8" s="64">
        <v>45000</v>
      </c>
      <c r="D8" s="64">
        <v>52000</v>
      </c>
      <c r="E8" s="64">
        <v>47000</v>
      </c>
      <c r="F8" s="64">
        <v>50000</v>
      </c>
      <c r="G8" s="64">
        <v>46000</v>
      </c>
      <c r="H8" s="64">
        <v>53000</v>
      </c>
      <c r="I8" s="64">
        <v>48000</v>
      </c>
      <c r="J8" s="64">
        <v>55000</v>
      </c>
      <c r="K8" s="64">
        <v>49000</v>
      </c>
      <c r="L8" s="64">
        <v>51000</v>
      </c>
      <c r="M8" s="64">
        <v>47000</v>
      </c>
      <c r="N8" s="64">
        <v>54000</v>
      </c>
      <c r="O8" s="70">
        <f>SUM(B8:N8)</f>
        <v>645000</v>
      </c>
      <c r="P8" s="72">
        <f>O8/13</f>
        <v>49615.384615384617</v>
      </c>
    </row>
    <row r="9" spans="1:16" x14ac:dyDescent="0.3">
      <c r="A9" s="56" t="s">
        <v>211</v>
      </c>
      <c r="B9" s="64">
        <v>2000</v>
      </c>
      <c r="C9" s="64">
        <v>1500</v>
      </c>
      <c r="D9" s="64">
        <v>2500</v>
      </c>
      <c r="E9" s="64">
        <v>1800</v>
      </c>
      <c r="F9" s="64">
        <v>2200</v>
      </c>
      <c r="G9" s="64">
        <v>1600</v>
      </c>
      <c r="H9" s="64">
        <v>2000</v>
      </c>
      <c r="I9" s="64">
        <v>1700</v>
      </c>
      <c r="J9" s="64">
        <v>2300</v>
      </c>
      <c r="K9" s="64">
        <v>1900</v>
      </c>
      <c r="L9" s="64">
        <v>2100</v>
      </c>
      <c r="M9" s="64">
        <v>1800</v>
      </c>
      <c r="N9" s="64">
        <v>2400</v>
      </c>
      <c r="O9" s="70">
        <f>SUM(B9:N9)</f>
        <v>25800</v>
      </c>
      <c r="P9" s="72">
        <f>O9/13</f>
        <v>1984.6153846153845</v>
      </c>
    </row>
    <row r="10" spans="1:16" x14ac:dyDescent="0.3">
      <c r="A10" s="54" t="s">
        <v>212</v>
      </c>
      <c r="B10" s="70">
        <f t="shared" ref="B10:O10" si="1">SUM(B8:B9)</f>
        <v>50000</v>
      </c>
      <c r="C10" s="70">
        <f t="shared" si="1"/>
        <v>46500</v>
      </c>
      <c r="D10" s="70">
        <f t="shared" si="1"/>
        <v>54500</v>
      </c>
      <c r="E10" s="70">
        <f t="shared" si="1"/>
        <v>48800</v>
      </c>
      <c r="F10" s="70">
        <f t="shared" si="1"/>
        <v>52200</v>
      </c>
      <c r="G10" s="70">
        <f t="shared" si="1"/>
        <v>47600</v>
      </c>
      <c r="H10" s="70">
        <f t="shared" si="1"/>
        <v>55000</v>
      </c>
      <c r="I10" s="70">
        <f t="shared" si="1"/>
        <v>49700</v>
      </c>
      <c r="J10" s="70">
        <f t="shared" si="1"/>
        <v>57300</v>
      </c>
      <c r="K10" s="70">
        <f t="shared" si="1"/>
        <v>50900</v>
      </c>
      <c r="L10" s="70">
        <f t="shared" si="1"/>
        <v>53100</v>
      </c>
      <c r="M10" s="70">
        <f t="shared" si="1"/>
        <v>48800</v>
      </c>
      <c r="N10" s="70">
        <f t="shared" si="1"/>
        <v>56400</v>
      </c>
      <c r="O10" s="70">
        <f t="shared" si="1"/>
        <v>670800</v>
      </c>
      <c r="P10" s="70">
        <f>O10/13</f>
        <v>51600</v>
      </c>
    </row>
    <row r="11" spans="1:16" x14ac:dyDescent="0.3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</row>
    <row r="12" spans="1:16" x14ac:dyDescent="0.3">
      <c r="A12" s="48" t="s">
        <v>213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</row>
    <row r="13" spans="1:16" x14ac:dyDescent="0.3">
      <c r="A13" s="56" t="s">
        <v>214</v>
      </c>
      <c r="B13" s="64">
        <v>0</v>
      </c>
      <c r="C13" s="64">
        <v>115000</v>
      </c>
      <c r="D13" s="64">
        <v>0</v>
      </c>
      <c r="E13" s="64">
        <v>115000</v>
      </c>
      <c r="F13" s="64">
        <v>0</v>
      </c>
      <c r="G13" s="64">
        <v>117000</v>
      </c>
      <c r="H13" s="64">
        <v>0</v>
      </c>
      <c r="I13" s="64">
        <v>117000</v>
      </c>
      <c r="J13" s="64">
        <v>0</v>
      </c>
      <c r="K13" s="64">
        <v>118000</v>
      </c>
      <c r="L13" s="64">
        <v>0</v>
      </c>
      <c r="M13" s="64">
        <v>118000</v>
      </c>
      <c r="N13" s="64">
        <v>0</v>
      </c>
      <c r="O13" s="70">
        <f>SUM(B13:N13)</f>
        <v>700000</v>
      </c>
      <c r="P13" s="72">
        <f t="shared" ref="P13:P19" si="2">O13/13</f>
        <v>53846.153846153844</v>
      </c>
    </row>
    <row r="14" spans="1:16" x14ac:dyDescent="0.3">
      <c r="A14" s="56" t="s">
        <v>215</v>
      </c>
      <c r="B14" s="64">
        <v>12000</v>
      </c>
      <c r="C14" s="64">
        <v>0</v>
      </c>
      <c r="D14" s="64">
        <v>0</v>
      </c>
      <c r="E14" s="64">
        <v>0</v>
      </c>
      <c r="F14" s="64">
        <v>12000</v>
      </c>
      <c r="G14" s="64">
        <v>0</v>
      </c>
      <c r="H14" s="64">
        <v>0</v>
      </c>
      <c r="I14" s="64">
        <v>0</v>
      </c>
      <c r="J14" s="64">
        <v>12000</v>
      </c>
      <c r="K14" s="64">
        <v>0</v>
      </c>
      <c r="L14" s="64">
        <v>0</v>
      </c>
      <c r="M14" s="64">
        <v>0</v>
      </c>
      <c r="N14" s="64">
        <v>12000</v>
      </c>
      <c r="O14" s="70">
        <f>SUM(B14:N14)</f>
        <v>48000</v>
      </c>
      <c r="P14" s="72">
        <f t="shared" si="2"/>
        <v>3692.3076923076924</v>
      </c>
    </row>
    <row r="15" spans="1:16" x14ac:dyDescent="0.3">
      <c r="A15" s="56" t="s">
        <v>216</v>
      </c>
      <c r="B15" s="64">
        <v>8000</v>
      </c>
      <c r="C15" s="64">
        <v>8000</v>
      </c>
      <c r="D15" s="64">
        <v>8500</v>
      </c>
      <c r="E15" s="64">
        <v>8000</v>
      </c>
      <c r="F15" s="64">
        <v>8500</v>
      </c>
      <c r="G15" s="64">
        <v>8000</v>
      </c>
      <c r="H15" s="64">
        <v>7500</v>
      </c>
      <c r="I15" s="64">
        <v>8000</v>
      </c>
      <c r="J15" s="64">
        <v>9000</v>
      </c>
      <c r="K15" s="64">
        <v>8500</v>
      </c>
      <c r="L15" s="64">
        <v>8000</v>
      </c>
      <c r="M15" s="64">
        <v>7500</v>
      </c>
      <c r="N15" s="64">
        <v>8500</v>
      </c>
      <c r="O15" s="70">
        <f>SUM(B15:N15)</f>
        <v>106000</v>
      </c>
      <c r="P15" s="72">
        <f t="shared" si="2"/>
        <v>8153.8461538461543</v>
      </c>
    </row>
    <row r="16" spans="1:16" x14ac:dyDescent="0.3">
      <c r="A16" s="56" t="s">
        <v>217</v>
      </c>
      <c r="B16" s="64">
        <v>5000</v>
      </c>
      <c r="C16" s="64">
        <v>3500</v>
      </c>
      <c r="D16" s="64">
        <v>4000</v>
      </c>
      <c r="E16" s="64">
        <v>3500</v>
      </c>
      <c r="F16" s="64">
        <v>5500</v>
      </c>
      <c r="G16" s="64">
        <v>3500</v>
      </c>
      <c r="H16" s="64">
        <v>4000</v>
      </c>
      <c r="I16" s="64">
        <v>3500</v>
      </c>
      <c r="J16" s="64">
        <v>5000</v>
      </c>
      <c r="K16" s="64">
        <v>3500</v>
      </c>
      <c r="L16" s="64">
        <v>4000</v>
      </c>
      <c r="M16" s="64">
        <v>3500</v>
      </c>
      <c r="N16" s="64">
        <v>5500</v>
      </c>
      <c r="O16" s="70">
        <f>SUM(B16:N16)</f>
        <v>54000</v>
      </c>
      <c r="P16" s="72">
        <f t="shared" si="2"/>
        <v>4153.8461538461543</v>
      </c>
    </row>
    <row r="17" spans="1:16" x14ac:dyDescent="0.3">
      <c r="A17" s="56" t="s">
        <v>218</v>
      </c>
      <c r="B17" s="64">
        <v>5000</v>
      </c>
      <c r="C17" s="64">
        <v>4500</v>
      </c>
      <c r="D17" s="64">
        <v>6000</v>
      </c>
      <c r="E17" s="64">
        <v>5500</v>
      </c>
      <c r="F17" s="64">
        <v>7000</v>
      </c>
      <c r="G17" s="64">
        <v>4000</v>
      </c>
      <c r="H17" s="64">
        <v>5500</v>
      </c>
      <c r="I17" s="64">
        <v>6500</v>
      </c>
      <c r="J17" s="64">
        <v>4500</v>
      </c>
      <c r="K17" s="64">
        <v>5000</v>
      </c>
      <c r="L17" s="64">
        <v>6000</v>
      </c>
      <c r="M17" s="64">
        <v>4500</v>
      </c>
      <c r="N17" s="64">
        <v>5500</v>
      </c>
      <c r="O17" s="70">
        <f>SUM(B17:N17)</f>
        <v>69500</v>
      </c>
      <c r="P17" s="72">
        <f t="shared" si="2"/>
        <v>5346.1538461538457</v>
      </c>
    </row>
    <row r="18" spans="1:16" x14ac:dyDescent="0.3">
      <c r="A18" s="54" t="s">
        <v>219</v>
      </c>
      <c r="B18" s="70">
        <f t="shared" ref="B18:O18" si="3">SUM(B13:B17)</f>
        <v>30000</v>
      </c>
      <c r="C18" s="70">
        <f t="shared" si="3"/>
        <v>131000</v>
      </c>
      <c r="D18" s="70">
        <f t="shared" si="3"/>
        <v>18500</v>
      </c>
      <c r="E18" s="70">
        <f t="shared" si="3"/>
        <v>132000</v>
      </c>
      <c r="F18" s="70">
        <f t="shared" si="3"/>
        <v>33000</v>
      </c>
      <c r="G18" s="70">
        <f t="shared" si="3"/>
        <v>132500</v>
      </c>
      <c r="H18" s="70">
        <f t="shared" si="3"/>
        <v>17000</v>
      </c>
      <c r="I18" s="70">
        <f t="shared" si="3"/>
        <v>135000</v>
      </c>
      <c r="J18" s="70">
        <f t="shared" si="3"/>
        <v>30500</v>
      </c>
      <c r="K18" s="70">
        <f t="shared" si="3"/>
        <v>135000</v>
      </c>
      <c r="L18" s="70">
        <f t="shared" si="3"/>
        <v>18000</v>
      </c>
      <c r="M18" s="70">
        <f t="shared" si="3"/>
        <v>133500</v>
      </c>
      <c r="N18" s="70">
        <f t="shared" si="3"/>
        <v>31500</v>
      </c>
      <c r="O18" s="70">
        <f t="shared" si="3"/>
        <v>977500</v>
      </c>
      <c r="P18" s="70">
        <f t="shared" si="2"/>
        <v>75192.307692307688</v>
      </c>
    </row>
    <row r="19" spans="1:16" x14ac:dyDescent="0.3">
      <c r="A19" s="54" t="s">
        <v>220</v>
      </c>
      <c r="B19" s="70">
        <f t="shared" ref="B19:O19" si="4">B10-B18</f>
        <v>20000</v>
      </c>
      <c r="C19" s="70">
        <f t="shared" si="4"/>
        <v>-84500</v>
      </c>
      <c r="D19" s="70">
        <f t="shared" si="4"/>
        <v>36000</v>
      </c>
      <c r="E19" s="70">
        <f t="shared" si="4"/>
        <v>-83200</v>
      </c>
      <c r="F19" s="70">
        <f t="shared" si="4"/>
        <v>19200</v>
      </c>
      <c r="G19" s="70">
        <f t="shared" si="4"/>
        <v>-84900</v>
      </c>
      <c r="H19" s="70">
        <f t="shared" si="4"/>
        <v>38000</v>
      </c>
      <c r="I19" s="70">
        <f t="shared" si="4"/>
        <v>-85300</v>
      </c>
      <c r="J19" s="70">
        <f t="shared" si="4"/>
        <v>26800</v>
      </c>
      <c r="K19" s="70">
        <f t="shared" si="4"/>
        <v>-84100</v>
      </c>
      <c r="L19" s="70">
        <f t="shared" si="4"/>
        <v>35100</v>
      </c>
      <c r="M19" s="70">
        <f t="shared" si="4"/>
        <v>-84700</v>
      </c>
      <c r="N19" s="70">
        <f t="shared" si="4"/>
        <v>24900</v>
      </c>
      <c r="O19" s="70">
        <f t="shared" si="4"/>
        <v>-306700</v>
      </c>
      <c r="P19" s="70">
        <f t="shared" si="2"/>
        <v>-23592.307692307691</v>
      </c>
    </row>
    <row r="20" spans="1:16" x14ac:dyDescent="0.3">
      <c r="A20" s="73" t="s">
        <v>221</v>
      </c>
      <c r="B20" s="70">
        <f t="shared" ref="B20:N20" si="5">B5+B19</f>
        <v>870000</v>
      </c>
      <c r="C20" s="70">
        <f t="shared" si="5"/>
        <v>785500</v>
      </c>
      <c r="D20" s="70">
        <f t="shared" si="5"/>
        <v>821500</v>
      </c>
      <c r="E20" s="70">
        <f t="shared" si="5"/>
        <v>738300</v>
      </c>
      <c r="F20" s="70">
        <f t="shared" si="5"/>
        <v>757500</v>
      </c>
      <c r="G20" s="70">
        <f t="shared" si="5"/>
        <v>672600</v>
      </c>
      <c r="H20" s="70">
        <f t="shared" si="5"/>
        <v>710600</v>
      </c>
      <c r="I20" s="70">
        <f t="shared" si="5"/>
        <v>625300</v>
      </c>
      <c r="J20" s="70">
        <f t="shared" si="5"/>
        <v>652100</v>
      </c>
      <c r="K20" s="70">
        <f t="shared" si="5"/>
        <v>568000</v>
      </c>
      <c r="L20" s="70">
        <f t="shared" si="5"/>
        <v>603100</v>
      </c>
      <c r="M20" s="70">
        <f t="shared" si="5"/>
        <v>518400</v>
      </c>
      <c r="N20" s="70">
        <f t="shared" si="5"/>
        <v>543300</v>
      </c>
      <c r="O20" s="70">
        <f>N20</f>
        <v>543300</v>
      </c>
      <c r="P20" s="66" t="s">
        <v>222</v>
      </c>
    </row>
    <row r="21" spans="1:16" x14ac:dyDescent="0.3">
      <c r="A21" s="74" t="s">
        <v>223</v>
      </c>
      <c r="B21" s="66" t="str">
        <f t="shared" ref="B21:N21" si="6">IF(B20&lt;200000,"⚠ BELOW MIN","✓ OK")</f>
        <v>✓ OK</v>
      </c>
      <c r="C21" s="66" t="str">
        <f t="shared" si="6"/>
        <v>✓ OK</v>
      </c>
      <c r="D21" s="66" t="str">
        <f t="shared" si="6"/>
        <v>✓ OK</v>
      </c>
      <c r="E21" s="66" t="str">
        <f t="shared" si="6"/>
        <v>✓ OK</v>
      </c>
      <c r="F21" s="66" t="str">
        <f t="shared" si="6"/>
        <v>✓ OK</v>
      </c>
      <c r="G21" s="66" t="str">
        <f t="shared" si="6"/>
        <v>✓ OK</v>
      </c>
      <c r="H21" s="66" t="str">
        <f t="shared" si="6"/>
        <v>✓ OK</v>
      </c>
      <c r="I21" s="66" t="str">
        <f t="shared" si="6"/>
        <v>✓ OK</v>
      </c>
      <c r="J21" s="66" t="str">
        <f t="shared" si="6"/>
        <v>✓ OK</v>
      </c>
      <c r="K21" s="66" t="str">
        <f t="shared" si="6"/>
        <v>✓ OK</v>
      </c>
      <c r="L21" s="66" t="str">
        <f t="shared" si="6"/>
        <v>✓ OK</v>
      </c>
      <c r="M21" s="66" t="str">
        <f t="shared" si="6"/>
        <v>✓ OK</v>
      </c>
      <c r="N21" s="66" t="str">
        <f t="shared" si="6"/>
        <v>✓ OK</v>
      </c>
      <c r="O21" s="66">
        <f>COUNTIF(B21:N21,"⚠ BELOW MIN")</f>
        <v>0</v>
      </c>
      <c r="P21" s="8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E963-6743-464B-9093-A38BC6DC5712}">
  <dimension ref="A1:K37"/>
  <sheetViews>
    <sheetView workbookViewId="0">
      <selection activeCell="A3" sqref="A3"/>
    </sheetView>
  </sheetViews>
  <sheetFormatPr baseColWidth="10" defaultRowHeight="15.6" x14ac:dyDescent="0.3"/>
  <cols>
    <col min="1" max="1" width="26.69921875" style="1" customWidth="1"/>
    <col min="2" max="4" width="18.296875" style="1" customWidth="1"/>
    <col min="5" max="5" width="42.19921875" style="1" customWidth="1"/>
    <col min="6" max="6" width="11.19921875" style="1"/>
    <col min="7" max="11" width="16.69921875" style="1" customWidth="1"/>
    <col min="12" max="16384" width="11.19921875" style="1"/>
  </cols>
  <sheetData>
    <row r="1" spans="1:11" ht="21" x14ac:dyDescent="0.4">
      <c r="A1" s="47" t="s">
        <v>225</v>
      </c>
    </row>
    <row r="2" spans="1:11" x14ac:dyDescent="0.3">
      <c r="A2" s="3"/>
    </row>
    <row r="4" spans="1:11" x14ac:dyDescent="0.3">
      <c r="A4" s="48" t="s">
        <v>226</v>
      </c>
      <c r="G4" s="48" t="s">
        <v>252</v>
      </c>
    </row>
    <row r="5" spans="1:11" x14ac:dyDescent="0.3">
      <c r="A5" s="69" t="s">
        <v>227</v>
      </c>
      <c r="B5" s="65" t="str">
        <f>A9</f>
        <v>Base Case</v>
      </c>
      <c r="C5" s="8" t="s">
        <v>261</v>
      </c>
      <c r="G5" s="48" t="s">
        <v>82</v>
      </c>
      <c r="H5" s="52" t="s">
        <v>228</v>
      </c>
      <c r="I5" s="52" t="s">
        <v>236</v>
      </c>
      <c r="J5" s="52" t="s">
        <v>238</v>
      </c>
      <c r="K5" s="52" t="s">
        <v>253</v>
      </c>
    </row>
    <row r="6" spans="1:11" x14ac:dyDescent="0.3">
      <c r="G6" s="56" t="s">
        <v>254</v>
      </c>
      <c r="H6" s="9">
        <f>$B$20*(1+B9)</f>
        <v>2760000</v>
      </c>
      <c r="I6" s="9">
        <f>$B$20*(1+B10)</f>
        <v>3120000</v>
      </c>
      <c r="J6" s="9">
        <f>$B$20*(1+B11)</f>
        <v>2520000</v>
      </c>
      <c r="K6" s="9">
        <f>$B$20*(1+B12)</f>
        <v>2160000</v>
      </c>
    </row>
    <row r="7" spans="1:11" x14ac:dyDescent="0.3">
      <c r="A7" s="48" t="s">
        <v>229</v>
      </c>
      <c r="G7" s="56" t="s">
        <v>255</v>
      </c>
      <c r="H7" s="9">
        <f>H6-($B$22*(1+B9*0.4))</f>
        <v>2251200</v>
      </c>
      <c r="I7" s="9">
        <f>I6-($B$22*(1+B10*0.4))</f>
        <v>2582400</v>
      </c>
      <c r="J7" s="9">
        <f>J6-($B$22*(1+B11*0.4))</f>
        <v>2030400</v>
      </c>
      <c r="K7" s="9">
        <f>K6-($B$22*(1+B12*0.4))</f>
        <v>1699200</v>
      </c>
    </row>
    <row r="8" spans="1:11" x14ac:dyDescent="0.3">
      <c r="A8" s="48" t="s">
        <v>230</v>
      </c>
      <c r="B8" s="52" t="s">
        <v>231</v>
      </c>
      <c r="C8" s="52" t="s">
        <v>232</v>
      </c>
      <c r="D8" s="52" t="s">
        <v>233</v>
      </c>
      <c r="E8" s="52" t="s">
        <v>234</v>
      </c>
      <c r="G8" s="52" t="s">
        <v>256</v>
      </c>
      <c r="H8" s="9">
        <f>$B$31*(1+C9)</f>
        <v>1998000.0000000002</v>
      </c>
      <c r="I8" s="9">
        <f>$B$31*(1+C10)</f>
        <v>2072000.0000000002</v>
      </c>
      <c r="J8" s="9">
        <f>$B$31*(1+C11)</f>
        <v>1942500</v>
      </c>
      <c r="K8" s="9">
        <f>$B$31*(1+C12)</f>
        <v>1572500</v>
      </c>
    </row>
    <row r="9" spans="1:11" x14ac:dyDescent="0.3">
      <c r="A9" s="76" t="s">
        <v>228</v>
      </c>
      <c r="B9" s="77">
        <v>0.15</v>
      </c>
      <c r="C9" s="77">
        <v>0.08</v>
      </c>
      <c r="D9" s="78">
        <v>0.04</v>
      </c>
      <c r="E9" s="8" t="s">
        <v>235</v>
      </c>
      <c r="G9" s="54" t="s">
        <v>141</v>
      </c>
      <c r="H9" s="69">
        <f>H7-H8</f>
        <v>253199.99999999977</v>
      </c>
      <c r="I9" s="69">
        <f>I7-I8</f>
        <v>510399.99999999977</v>
      </c>
      <c r="J9" s="69">
        <f>J7-J8</f>
        <v>87900</v>
      </c>
      <c r="K9" s="69">
        <f>K7-K8</f>
        <v>126700</v>
      </c>
    </row>
    <row r="10" spans="1:11" x14ac:dyDescent="0.3">
      <c r="A10" s="76" t="s">
        <v>236</v>
      </c>
      <c r="B10" s="77">
        <v>0.3</v>
      </c>
      <c r="C10" s="77">
        <v>0.12</v>
      </c>
      <c r="D10" s="78">
        <v>0.02</v>
      </c>
      <c r="E10" s="8" t="s">
        <v>237</v>
      </c>
      <c r="G10" s="74" t="s">
        <v>257</v>
      </c>
      <c r="H10" s="6">
        <f>H9/H6</f>
        <v>9.1739130434782518E-2</v>
      </c>
      <c r="I10" s="6">
        <f>I9/I6</f>
        <v>0.16358974358974351</v>
      </c>
      <c r="J10" s="6">
        <f>J9/J6</f>
        <v>3.4880952380952381E-2</v>
      </c>
      <c r="K10" s="6">
        <f>K9/K6</f>
        <v>5.8657407407407408E-2</v>
      </c>
    </row>
    <row r="11" spans="1:11" x14ac:dyDescent="0.3">
      <c r="A11" s="76" t="s">
        <v>238</v>
      </c>
      <c r="B11" s="77">
        <v>0.05</v>
      </c>
      <c r="C11" s="77">
        <v>0.05</v>
      </c>
      <c r="D11" s="78">
        <v>7.0000000000000007E-2</v>
      </c>
      <c r="E11" s="8" t="s">
        <v>239</v>
      </c>
      <c r="G11" s="54" t="s">
        <v>258</v>
      </c>
      <c r="H11" s="69">
        <f>H9-$B$36</f>
        <v>208199.99999999977</v>
      </c>
      <c r="I11" s="69">
        <f>I9-$B$36</f>
        <v>465399.99999999977</v>
      </c>
      <c r="J11" s="69">
        <f>J9-$B$36</f>
        <v>42900</v>
      </c>
      <c r="K11" s="69">
        <f>K9-$B$36</f>
        <v>81700</v>
      </c>
    </row>
    <row r="12" spans="1:11" x14ac:dyDescent="0.3">
      <c r="A12" s="76" t="s">
        <v>240</v>
      </c>
      <c r="B12" s="77">
        <v>-0.1</v>
      </c>
      <c r="C12" s="77">
        <v>-0.15</v>
      </c>
      <c r="D12" s="78">
        <v>0.12</v>
      </c>
      <c r="E12" s="8" t="s">
        <v>241</v>
      </c>
      <c r="G12" s="74" t="s">
        <v>259</v>
      </c>
      <c r="H12" s="6">
        <f>H11/H6</f>
        <v>7.5434782608695572E-2</v>
      </c>
      <c r="I12" s="6">
        <f>I11/I6</f>
        <v>0.14916666666666659</v>
      </c>
      <c r="J12" s="6">
        <f>J11/J6</f>
        <v>1.7023809523809524E-2</v>
      </c>
      <c r="K12" s="6">
        <f>K11/K6</f>
        <v>3.7824074074074072E-2</v>
      </c>
    </row>
    <row r="13" spans="1:11" x14ac:dyDescent="0.3">
      <c r="G13" s="54" t="s">
        <v>260</v>
      </c>
      <c r="H13" s="69">
        <f>H11*0.9</f>
        <v>187379.9999999998</v>
      </c>
      <c r="I13" s="69">
        <f>I11*0.9</f>
        <v>418859.99999999983</v>
      </c>
      <c r="J13" s="69">
        <f>J11*0.9</f>
        <v>38610</v>
      </c>
      <c r="K13" s="69">
        <f>K11*0.9</f>
        <v>73530</v>
      </c>
    </row>
    <row r="14" spans="1:11" x14ac:dyDescent="0.3">
      <c r="A14" s="48" t="s">
        <v>242</v>
      </c>
    </row>
    <row r="15" spans="1:11" x14ac:dyDescent="0.3">
      <c r="A15" s="48" t="s">
        <v>243</v>
      </c>
      <c r="B15" s="52" t="s">
        <v>244</v>
      </c>
      <c r="C15" s="52" t="s">
        <v>245</v>
      </c>
      <c r="D15" s="52" t="s">
        <v>246</v>
      </c>
      <c r="E15" s="52" t="s">
        <v>247</v>
      </c>
    </row>
    <row r="16" spans="1:11" x14ac:dyDescent="0.3">
      <c r="A16" s="54" t="s">
        <v>19</v>
      </c>
      <c r="B16" s="56"/>
      <c r="C16" s="56"/>
      <c r="D16" s="56"/>
      <c r="E16" s="56"/>
    </row>
    <row r="17" spans="1:5" x14ac:dyDescent="0.3">
      <c r="A17" s="56" t="s">
        <v>127</v>
      </c>
      <c r="B17" s="68">
        <v>2000000</v>
      </c>
      <c r="C17" s="69">
        <f>B17*(1+_xlfn.XLOOKUP($B$5,$A$9:$A$12,$B$9:$B$12,0))</f>
        <v>2300000</v>
      </c>
      <c r="D17" s="9">
        <f>C17-B17</f>
        <v>300000</v>
      </c>
      <c r="E17" s="6">
        <f>IF(B17=0,0,D17/B17)</f>
        <v>0.15</v>
      </c>
    </row>
    <row r="18" spans="1:5" x14ac:dyDescent="0.3">
      <c r="A18" s="56" t="s">
        <v>128</v>
      </c>
      <c r="B18" s="68">
        <v>350000</v>
      </c>
      <c r="C18" s="69">
        <f>B18*(1+_xlfn.XLOOKUP($B$5,$A$9:$A$12,$B$9:$B$12,0)*0.5)</f>
        <v>376250</v>
      </c>
      <c r="D18" s="9">
        <f>C18-B18</f>
        <v>26250</v>
      </c>
      <c r="E18" s="6">
        <f>IF(B18=0,0,D18/B18)</f>
        <v>7.4999999999999997E-2</v>
      </c>
    </row>
    <row r="19" spans="1:5" x14ac:dyDescent="0.3">
      <c r="A19" s="56" t="s">
        <v>134</v>
      </c>
      <c r="B19" s="68">
        <v>50000</v>
      </c>
      <c r="C19" s="69">
        <f>B19*(1+_xlfn.XLOOKUP($B$5,$A$9:$A$12,$B$9:$B$12,0)*0.3)</f>
        <v>52250</v>
      </c>
      <c r="D19" s="9">
        <f>C19-B19</f>
        <v>2250</v>
      </c>
      <c r="E19" s="6">
        <f>IF(B19=0,0,D19/B19)</f>
        <v>4.4999999999999998E-2</v>
      </c>
    </row>
    <row r="20" spans="1:5" x14ac:dyDescent="0.3">
      <c r="A20" s="54" t="s">
        <v>32</v>
      </c>
      <c r="B20" s="69">
        <f>SUM(B17:B19)</f>
        <v>2400000</v>
      </c>
      <c r="C20" s="69">
        <f>SUM(C17:C19)</f>
        <v>2728500</v>
      </c>
      <c r="D20" s="69">
        <f>C20-B20</f>
        <v>328500</v>
      </c>
      <c r="E20" s="79">
        <f>IF(B20=0,0,D20/B20)</f>
        <v>0.136875</v>
      </c>
    </row>
    <row r="22" spans="1:5" x14ac:dyDescent="0.3">
      <c r="A22" s="56" t="s">
        <v>248</v>
      </c>
      <c r="B22" s="68">
        <v>480000</v>
      </c>
      <c r="C22" s="69">
        <f>B22*(1+_xlfn.XLOOKUP($B$5,$A$9:$A$12,$B$9:$B$12,0)*0.4)</f>
        <v>508800</v>
      </c>
      <c r="D22" s="9">
        <f>C22-B22</f>
        <v>28800</v>
      </c>
      <c r="E22" s="6">
        <f>IF(B22=0,0,D22/B22)</f>
        <v>0.06</v>
      </c>
    </row>
    <row r="23" spans="1:5" x14ac:dyDescent="0.3">
      <c r="A23" s="54" t="s">
        <v>249</v>
      </c>
      <c r="B23" s="69">
        <f>B20-B22</f>
        <v>1920000</v>
      </c>
      <c r="C23" s="69">
        <f>C20-C22</f>
        <v>2219700</v>
      </c>
      <c r="D23" s="69">
        <f>C23-B23</f>
        <v>299700</v>
      </c>
      <c r="E23" s="79">
        <f>IF(B23=0,0,D23/B23)</f>
        <v>0.15609375</v>
      </c>
    </row>
    <row r="24" spans="1:5" x14ac:dyDescent="0.3">
      <c r="A24" s="74" t="s">
        <v>164</v>
      </c>
      <c r="B24" s="80">
        <f>B23/B20</f>
        <v>0.8</v>
      </c>
      <c r="C24" s="80">
        <f>C23/C20</f>
        <v>0.8135239142385926</v>
      </c>
      <c r="D24" s="9"/>
      <c r="E24" s="9"/>
    </row>
    <row r="26" spans="1:5" x14ac:dyDescent="0.3">
      <c r="A26" s="48" t="s">
        <v>135</v>
      </c>
    </row>
    <row r="27" spans="1:5" x14ac:dyDescent="0.3">
      <c r="A27" s="56" t="s">
        <v>136</v>
      </c>
      <c r="B27" s="68">
        <v>1100000</v>
      </c>
      <c r="C27" s="69">
        <f>B27*(1+_xlfn.XLOOKUP($B$5,$A$9:$A$12,$C$9:$C$12,0))</f>
        <v>1188000</v>
      </c>
      <c r="D27" s="9">
        <f>C27-B27</f>
        <v>88000</v>
      </c>
      <c r="E27" s="6">
        <f>IF(B27=0,0,D27/B27)</f>
        <v>0.08</v>
      </c>
    </row>
    <row r="28" spans="1:5" x14ac:dyDescent="0.3">
      <c r="A28" s="56" t="s">
        <v>250</v>
      </c>
      <c r="B28" s="68">
        <v>280000</v>
      </c>
      <c r="C28" s="69">
        <f>B28*(1+_xlfn.XLOOKUP($B$5,$A$9:$A$12,$C$9:$C$12,0))</f>
        <v>302400</v>
      </c>
      <c r="D28" s="9">
        <f>C28-B28</f>
        <v>22400</v>
      </c>
      <c r="E28" s="6">
        <f>IF(B28=0,0,D28/B28)</f>
        <v>0.08</v>
      </c>
    </row>
    <row r="29" spans="1:5" x14ac:dyDescent="0.3">
      <c r="A29" s="56" t="s">
        <v>137</v>
      </c>
      <c r="B29" s="68">
        <v>320000</v>
      </c>
      <c r="C29" s="69">
        <f>B29*(1+_xlfn.XLOOKUP($B$5,$A$9:$A$12,$C$9:$C$12,0))</f>
        <v>345600</v>
      </c>
      <c r="D29" s="9">
        <f>C29-B29</f>
        <v>25600</v>
      </c>
      <c r="E29" s="6">
        <f>IF(B29=0,0,D29/B29)</f>
        <v>0.08</v>
      </c>
    </row>
    <row r="30" spans="1:5" x14ac:dyDescent="0.3">
      <c r="A30" s="56" t="s">
        <v>79</v>
      </c>
      <c r="B30" s="68">
        <v>150000</v>
      </c>
      <c r="C30" s="69">
        <f>B30*(1+_xlfn.XLOOKUP($B$5,$A$9:$A$12,$C$9:$C$12,0))</f>
        <v>162000</v>
      </c>
      <c r="D30" s="9">
        <f>C30-B30</f>
        <v>12000</v>
      </c>
      <c r="E30" s="6">
        <f>IF(B30=0,0,D30/B30)</f>
        <v>0.08</v>
      </c>
    </row>
    <row r="31" spans="1:5" x14ac:dyDescent="0.3">
      <c r="A31" s="54" t="s">
        <v>139</v>
      </c>
      <c r="B31" s="69">
        <f>SUM(B27:B30)</f>
        <v>1850000</v>
      </c>
      <c r="C31" s="69">
        <f>SUM(C27:C30)</f>
        <v>1998000</v>
      </c>
      <c r="D31" s="69">
        <f>C31-B31</f>
        <v>148000</v>
      </c>
      <c r="E31" s="79">
        <f>IF(B31=0,0,D31/B31)</f>
        <v>0.08</v>
      </c>
    </row>
    <row r="33" spans="1:5" x14ac:dyDescent="0.3">
      <c r="A33" s="73" t="s">
        <v>141</v>
      </c>
      <c r="B33" s="69">
        <f>B23-B31</f>
        <v>70000</v>
      </c>
      <c r="C33" s="69">
        <f>C23-C31</f>
        <v>221700</v>
      </c>
      <c r="D33" s="69">
        <f>C33-B33</f>
        <v>151700</v>
      </c>
      <c r="E33" s="79">
        <f>IF(B33=0,0,D33/B33)</f>
        <v>2.1671428571428573</v>
      </c>
    </row>
    <row r="34" spans="1:5" x14ac:dyDescent="0.3">
      <c r="A34" s="74" t="s">
        <v>142</v>
      </c>
      <c r="B34" s="80">
        <f>B33/B20</f>
        <v>2.9166666666666667E-2</v>
      </c>
      <c r="C34" s="80">
        <f>C33/C20</f>
        <v>8.1253435953820785E-2</v>
      </c>
      <c r="D34" s="9"/>
      <c r="E34" s="9"/>
    </row>
    <row r="36" spans="1:5" x14ac:dyDescent="0.3">
      <c r="A36" s="56" t="s">
        <v>251</v>
      </c>
      <c r="B36" s="68">
        <v>45000</v>
      </c>
      <c r="C36" s="68">
        <v>45000</v>
      </c>
      <c r="D36" s="9">
        <f>C36-B36</f>
        <v>0</v>
      </c>
      <c r="E36" s="6">
        <f>IF(B36=0,0,D36/B36)</f>
        <v>0</v>
      </c>
    </row>
    <row r="37" spans="1:5" x14ac:dyDescent="0.3">
      <c r="A37" s="73" t="s">
        <v>53</v>
      </c>
      <c r="B37" s="69">
        <f>B33-B36</f>
        <v>25000</v>
      </c>
      <c r="C37" s="69">
        <f>C33-C36</f>
        <v>176700</v>
      </c>
      <c r="D37" s="69">
        <f>C37-B37</f>
        <v>151700</v>
      </c>
      <c r="E37" s="79">
        <f>IF(B37=0,0,D37/B37)</f>
        <v>6.0679999999999996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1. BvA Variance</vt:lpstr>
      <vt:lpstr>2. Headcount Planning</vt:lpstr>
      <vt:lpstr>3. Revenue Forecast</vt:lpstr>
      <vt:lpstr>4. Rolling Forecast</vt:lpstr>
      <vt:lpstr>5. KPI Dashboard</vt:lpstr>
      <vt:lpstr>6. 13-Week Cash Flow</vt:lpstr>
      <vt:lpstr>7. 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Noah Bouguin</cp:lastModifiedBy>
  <dcterms:created xsi:type="dcterms:W3CDTF">2026-01-22T08:27:38Z</dcterms:created>
  <dcterms:modified xsi:type="dcterms:W3CDTF">2026-04-22T19:42:33Z</dcterms:modified>
</cp:coreProperties>
</file>